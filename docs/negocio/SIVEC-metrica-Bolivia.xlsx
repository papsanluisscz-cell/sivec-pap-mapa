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es" sheetId="1" state="visible" r:id="rId1"/>
    <sheet xmlns:r="http://schemas.openxmlformats.org/officeDocument/2006/relationships" name="Supostos" sheetId="2" state="visible" r:id="rId2"/>
    <sheet xmlns:r="http://schemas.openxmlformats.org/officeDocument/2006/relationships" name="Departamentos" sheetId="3" state="visible" r:id="rId3"/>
    <sheet xmlns:r="http://schemas.openxmlformats.org/officeDocument/2006/relationships" name="Municípios" sheetId="4" state="visible" r:id="rId4"/>
    <sheet xmlns:r="http://schemas.openxmlformats.org/officeDocument/2006/relationships" name="Equipe" sheetId="5" state="visible" r:id="rId5"/>
    <sheet xmlns:r="http://schemas.openxmlformats.org/officeDocument/2006/relationships" name="Ferramen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-"/>
    <numFmt numFmtId="165" formatCode="$#,##0;($#,##0);-"/>
    <numFmt numFmtId="166" formatCode="&quot;Bs&quot; #,##0;(&quot;Bs&quot; #,##0);-"/>
    <numFmt numFmtId="167" formatCode="0.0%;(0.0%);-"/>
  </numFmts>
  <fonts count="12">
    <font>
      <name val="Calibri"/>
      <family val="2"/>
      <color theme="1"/>
      <sz val="11"/>
      <scheme val="minor"/>
    </font>
    <font>
      <name val="Arial"/>
      <b val="1"/>
      <color rgb="007D2A4C"/>
      <sz val="14"/>
    </font>
    <font>
      <name val="Arial"/>
      <i val="1"/>
      <color rgb="006B5A62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6B5A62"/>
      <sz val="9"/>
    </font>
    <font>
      <name val="Arial"/>
      <b val="1"/>
    </font>
    <font>
      <name val="Arial"/>
      <color rgb="00008000"/>
    </font>
    <font>
      <name val="Arial"/>
      <b val="1"/>
      <color rgb="006B5A62"/>
      <sz val="9"/>
    </font>
    <font>
      <name val="Arial"/>
      <color rgb="004A3A42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7D2A4C"/>
      </patternFill>
    </fill>
    <fill>
      <patternFill patternType="solid">
        <fgColor rgb="00FFFF00"/>
      </patternFill>
    </fill>
    <fill>
      <patternFill patternType="solid">
        <fgColor rgb="00F5E9EE"/>
      </patternFill>
    </fill>
  </fills>
  <borders count="2">
    <border>
      <left/>
      <right/>
      <top/>
      <bottom/>
      <diagonal/>
    </border>
    <border>
      <left style="thin">
        <color rgb="00D9C7CF"/>
      </left>
      <right style="thin">
        <color rgb="00D9C7CF"/>
      </right>
      <top style="thin">
        <color rgb="00D9C7CF"/>
      </top>
      <bottom style="thin">
        <color rgb="00D9C7C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164" fontId="5" fillId="0" borderId="0" pivotButton="0" quotePrefix="0" xfId="0"/>
    <xf numFmtId="164" fontId="8" fillId="0" borderId="0" pivotButton="0" quotePrefix="0" xfId="0"/>
    <xf numFmtId="0" fontId="11" fillId="0" borderId="0" pivotButton="0" quotePrefix="0" xfId="0"/>
    <xf numFmtId="165" fontId="11" fillId="0" borderId="0" pivotButton="0" quotePrefix="0" xfId="0"/>
    <xf numFmtId="166" fontId="11" fillId="0" borderId="0" pivotButton="0" quotePrefix="0" xfId="0"/>
    <xf numFmtId="165" fontId="8" fillId="0" borderId="0" pivotButton="0" quotePrefix="0" xfId="0"/>
    <xf numFmtId="0" fontId="7" fillId="4" borderId="0" pivotButton="0" quotePrefix="0" xfId="0"/>
    <xf numFmtId="165" fontId="7" fillId="4" borderId="0" pivotButton="0" quotePrefix="0" xfId="0"/>
    <xf numFmtId="166" fontId="7" fillId="4" borderId="0" pivotButton="0" quotePrefix="0" xfId="0"/>
    <xf numFmtId="167" fontId="11" fillId="0" borderId="0" pivotButton="0" quotePrefix="0" xfId="0"/>
    <xf numFmtId="164" fontId="11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165" fontId="5" fillId="3" borderId="0" pivotButton="0" quotePrefix="0" xfId="0"/>
    <xf numFmtId="2" fontId="5" fillId="0" borderId="0" pivotButton="0" quotePrefix="0" xfId="0"/>
    <xf numFmtId="167" fontId="5" fillId="0" borderId="0" pivotButton="0" quotePrefix="0" xfId="0"/>
    <xf numFmtId="167" fontId="5" fillId="3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8" fillId="0" borderId="0" pivotButton="0" quotePrefix="0" xfId="0"/>
    <xf numFmtId="164" fontId="5" fillId="3" borderId="0" pivotButton="0" quotePrefix="0" xfId="0"/>
    <xf numFmtId="164" fontId="7" fillId="4" borderId="0" pivotButton="0" quotePrefix="0" xfId="0"/>
    <xf numFmtId="0" fontId="9" fillId="0" borderId="0" pivotButton="0" quotePrefix="0" xfId="0"/>
    <xf numFmtId="167" fontId="8" fillId="0" borderId="0" pivotButton="0" quotePrefix="0" xfId="0"/>
    <xf numFmtId="166" fontId="5" fillId="3" borderId="0" pivotButton="0" quotePrefix="0" xfId="0"/>
    <xf numFmtId="164" fontId="5" fillId="0" borderId="0" pivotButton="0" quotePrefix="0" xfId="0"/>
    <xf numFmtId="164" fontId="8" fillId="0" borderId="0" pivotButton="0" quotePrefix="0" xfId="0"/>
    <xf numFmtId="165" fontId="11" fillId="0" borderId="0" pivotButton="0" quotePrefix="0" xfId="0"/>
    <xf numFmtId="166" fontId="11" fillId="0" borderId="0" pivotButton="0" quotePrefix="0" xfId="0"/>
    <xf numFmtId="165" fontId="8" fillId="0" borderId="0" pivotButton="0" quotePrefix="0" xfId="0"/>
    <xf numFmtId="165" fontId="7" fillId="4" borderId="0" pivotButton="0" quotePrefix="0" xfId="0"/>
    <xf numFmtId="166" fontId="7" fillId="4" borderId="0" pivotButton="0" quotePrefix="0" xfId="0"/>
    <xf numFmtId="167" fontId="11" fillId="0" borderId="0" pivotButton="0" quotePrefix="0" xfId="0"/>
    <xf numFmtId="164" fontId="11" fillId="0" borderId="0" pivotButton="0" quotePrefix="0" xfId="0"/>
    <xf numFmtId="165" fontId="5" fillId="0" borderId="0" pivotButton="0" quotePrefix="0" xfId="0"/>
    <xf numFmtId="165" fontId="5" fillId="3" borderId="0" pivotButton="0" quotePrefix="0" xfId="0"/>
    <xf numFmtId="167" fontId="5" fillId="0" borderId="0" pivotButton="0" quotePrefix="0" xfId="0"/>
    <xf numFmtId="167" fontId="5" fillId="3" borderId="0" pivotButton="0" quotePrefix="0" xfId="0"/>
    <xf numFmtId="164" fontId="5" fillId="3" borderId="0" pivotButton="0" quotePrefix="0" xfId="0"/>
    <xf numFmtId="164" fontId="7" fillId="4" borderId="0" pivotButton="0" quotePrefix="0" xfId="0"/>
    <xf numFmtId="167" fontId="8" fillId="0" borderId="0" pivotButton="0" quotePrefix="0" xfId="0"/>
    <xf numFmtId="166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SIVEC</author>
  </authors>
  <commentList>
    <comment ref="A5" authorId="0" shapeId="0">
      <text>
        <t>Supabase: Pro US$25, Team US$599; computação Small US$15, Large US$110, XL US$210, 4XL US$960 (+ réplica na fase 4).</t>
      </text>
    </comment>
    <comment ref="A9" authorId="0" shapeId="0">
      <text>
        <t>Depende do volume de mensagens; estimativa.</t>
      </text>
    </comment>
    <comment ref="A14" authorId="0" shapeId="0">
      <text>
        <t>Estimativa.</t>
      </text>
    </comment>
    <comment ref="A15" authorId="0" shapeId="0">
      <text>
        <t>Estimativa.</t>
      </text>
    </comment>
    <comment ref="A16" authorId="0" shapeId="0">
      <text>
        <t>Estimativa.</t>
      </text>
    </comment>
    <comment ref="A18" authorId="0" shapeId="0">
      <text>
        <t>Cobrado por agente; aqui aproximado por pessoa da equipe.</t>
      </text>
    </comment>
    <comment ref="A21" authorId="0" shapeId="0">
      <text>
        <t>US$ 1.000 por notebook ÷ 36 meses.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SIVEC — Quanto entra, quanto custa e quanto sobra, por fase</t>
        </is>
      </c>
    </row>
    <row r="2">
      <c r="A2" s="2" t="inlineStr">
        <is>
          <t>Preços: Supostos. Estabelecimentos: Departamentos e Municípios. Equipe e ferramentas: suas abas.</t>
        </is>
      </c>
    </row>
    <row r="4" ht="32" customHeight="1">
      <c r="A4" s="3" t="inlineStr">
        <is>
          <t>Linha</t>
        </is>
      </c>
      <c r="B4" s="3" t="inlineStr">
        <is>
          <t>Fase 1 · Red Centro</t>
        </is>
      </c>
      <c r="C4" s="3" t="inlineStr">
        <is>
          <t>Fase 2 · Município Santa Cruz</t>
        </is>
      </c>
      <c r="D4" s="3" t="inlineStr">
        <is>
          <t>Fase 3 · Departamento Santa Cruz</t>
        </is>
      </c>
      <c r="E4" s="3" t="inlineStr">
        <is>
          <t>Fase 4 · Bolívia inteira</t>
        </is>
      </c>
    </row>
    <row r="5">
      <c r="A5" s="4" t="inlineStr">
        <is>
          <t>Redes</t>
        </is>
      </c>
      <c r="B5" s="32" t="n">
        <v>1</v>
      </c>
      <c r="C5" s="33">
        <f>'Municípios'!D5</f>
        <v/>
      </c>
      <c r="D5" s="33">
        <f>Departamentos!C5</f>
        <v/>
      </c>
      <c r="E5" s="33">
        <f>Departamentos!C14</f>
        <v/>
      </c>
    </row>
    <row r="6">
      <c r="A6" s="4" t="inlineStr">
        <is>
          <t>Centros 1º nível</t>
        </is>
      </c>
      <c r="B6" s="32" t="n">
        <v>9</v>
      </c>
      <c r="C6" s="33">
        <f>'Municípios'!E5</f>
        <v/>
      </c>
      <c r="D6" s="33">
        <f>Departamentos!D5</f>
        <v/>
      </c>
      <c r="E6" s="33">
        <f>Departamentos!D14</f>
        <v/>
      </c>
    </row>
    <row r="7">
      <c r="A7" s="4" t="inlineStr">
        <is>
          <t>Hospitais 2º nível</t>
        </is>
      </c>
      <c r="B7" s="32" t="n">
        <v>1</v>
      </c>
      <c r="C7" s="33">
        <f>'Municípios'!F5</f>
        <v/>
      </c>
      <c r="D7" s="33">
        <f>Departamentos!E5</f>
        <v/>
      </c>
      <c r="E7" s="33">
        <f>Departamentos!E14</f>
        <v/>
      </c>
    </row>
    <row r="8">
      <c r="A8" s="4" t="inlineStr">
        <is>
          <t>3º nível + labs + oncológico</t>
        </is>
      </c>
      <c r="B8" s="32" t="n">
        <v>1</v>
      </c>
      <c r="C8" s="33">
        <f>'Municípios'!G5</f>
        <v/>
      </c>
      <c r="D8" s="33">
        <f>Departamentos!F5</f>
        <v/>
      </c>
      <c r="E8" s="33">
        <f>Departamentos!F14</f>
        <v/>
      </c>
    </row>
    <row r="9">
      <c r="A9" s="7" t="inlineStr">
        <is>
          <t>Receita bruta mensal (US$)</t>
        </is>
      </c>
      <c r="B9" s="34">
        <f>B5*Supostos!$B$8+B6*Supostos!$B$5+B7*Supostos!$B$6+B8*Supostos!$B$7</f>
        <v/>
      </c>
      <c r="C9" s="34">
        <f>C5*Supostos!$B$8+C6*Supostos!$B$5+C7*Supostos!$B$6+C8*Supostos!$B$7</f>
        <v/>
      </c>
      <c r="D9" s="34">
        <f>D5*Supostos!$B$8+D6*Supostos!$B$5+D7*Supostos!$B$6+D8*Supostos!$B$7</f>
        <v/>
      </c>
      <c r="E9" s="34">
        <f>E5*Supostos!$B$8+E6*Supostos!$B$5+E7*Supostos!$B$6+E8*Supostos!$B$7</f>
        <v/>
      </c>
    </row>
    <row r="10">
      <c r="A10" s="7" t="inlineStr">
        <is>
          <t>Receita bruta anual (US$)</t>
        </is>
      </c>
      <c r="B10" s="34">
        <f>B9*12</f>
        <v/>
      </c>
      <c r="C10" s="34">
        <f>C9*12</f>
        <v/>
      </c>
      <c r="D10" s="34">
        <f>D9*12</f>
        <v/>
      </c>
      <c r="E10" s="34">
        <f>E9*12</f>
        <v/>
      </c>
    </row>
    <row r="11">
      <c r="A11" s="7" t="inlineStr">
        <is>
          <t>Receita bruta anual (Bs)</t>
        </is>
      </c>
      <c r="B11" s="35">
        <f>B10*Supostos!$B$9</f>
        <v/>
      </c>
      <c r="C11" s="35">
        <f>C10*Supostos!$B$9</f>
        <v/>
      </c>
      <c r="D11" s="35">
        <f>D10*Supostos!$B$9</f>
        <v/>
      </c>
      <c r="E11" s="35">
        <f>E10*Supostos!$B$9</f>
        <v/>
      </c>
    </row>
    <row r="12">
      <c r="A12" s="7" t="inlineStr">
        <is>
          <t>(−) Impostos sobre faturamento (US$/ano)</t>
        </is>
      </c>
      <c r="B12" s="34">
        <f>-B10*Supostos!$B$10</f>
        <v/>
      </c>
      <c r="C12" s="34">
        <f>-C10*Supostos!$B$10</f>
        <v/>
      </c>
      <c r="D12" s="34">
        <f>-D10*Supostos!$B$10</f>
        <v/>
      </c>
      <c r="E12" s="34">
        <f>-E10*Supostos!$B$10</f>
        <v/>
      </c>
    </row>
    <row r="13">
      <c r="A13" s="7" t="inlineStr">
        <is>
          <t>Receita líquida anual (US$)</t>
        </is>
      </c>
      <c r="B13" s="34">
        <f>B10+B12</f>
        <v/>
      </c>
      <c r="C13" s="34">
        <f>C10+C12</f>
        <v/>
      </c>
      <c r="D13" s="34">
        <f>D10+D12</f>
        <v/>
      </c>
      <c r="E13" s="34">
        <f>E10+E12</f>
        <v/>
      </c>
    </row>
    <row r="14">
      <c r="A14" s="7" t="inlineStr">
        <is>
          <t>(−) Equipe (US$/ano)</t>
        </is>
      </c>
      <c r="B14" s="36">
        <f>-Equipe!I22/Supostos!$B$9*12</f>
        <v/>
      </c>
      <c r="C14" s="36">
        <f>-Equipe!J22/Supostos!$B$9*12</f>
        <v/>
      </c>
      <c r="D14" s="36">
        <f>-Equipe!K22/Supostos!$B$9*12</f>
        <v/>
      </c>
      <c r="E14" s="36">
        <f>-Equipe!L22/Supostos!$B$9*12</f>
        <v/>
      </c>
    </row>
    <row r="15">
      <c r="A15" s="7" t="inlineStr">
        <is>
          <t>(−) Ferramentas e operação (US$/ano)</t>
        </is>
      </c>
      <c r="B15" s="36">
        <f>-Ferramentas!E22*12</f>
        <v/>
      </c>
      <c r="C15" s="36">
        <f>-Ferramentas!F22*12</f>
        <v/>
      </c>
      <c r="D15" s="36">
        <f>-Ferramentas!G22*12</f>
        <v/>
      </c>
      <c r="E15" s="36">
        <f>-Ferramentas!H22*12</f>
        <v/>
      </c>
    </row>
    <row r="16">
      <c r="A16" s="7" t="inlineStr">
        <is>
          <t>Resultado antes do IUE (US$/ano)</t>
        </is>
      </c>
      <c r="B16" s="34">
        <f>B13+B14+B15</f>
        <v/>
      </c>
      <c r="C16" s="34">
        <f>C13+C14+C15</f>
        <v/>
      </c>
      <c r="D16" s="34">
        <f>D13+D14+D15</f>
        <v/>
      </c>
      <c r="E16" s="34">
        <f>E13+E14+E15</f>
        <v/>
      </c>
    </row>
    <row r="17">
      <c r="A17" s="7" t="inlineStr">
        <is>
          <t>(−) IUE (US$/ano)</t>
        </is>
      </c>
      <c r="B17" s="34">
        <f>-MAX(0,B16)*Supostos!$B$11</f>
        <v/>
      </c>
      <c r="C17" s="34">
        <f>-MAX(0,C16)*Supostos!$B$11</f>
        <v/>
      </c>
      <c r="D17" s="34">
        <f>-MAX(0,D16)*Supostos!$B$11</f>
        <v/>
      </c>
      <c r="E17" s="34">
        <f>-MAX(0,E16)*Supostos!$B$11</f>
        <v/>
      </c>
    </row>
    <row r="18">
      <c r="A18" s="11" t="inlineStr">
        <is>
          <t>Lucro líquido anual (US$)</t>
        </is>
      </c>
      <c r="B18" s="37">
        <f>B16+B17</f>
        <v/>
      </c>
      <c r="C18" s="37">
        <f>C16+C17</f>
        <v/>
      </c>
      <c r="D18" s="37">
        <f>D16+D17</f>
        <v/>
      </c>
      <c r="E18" s="37">
        <f>E16+E17</f>
        <v/>
      </c>
    </row>
    <row r="19">
      <c r="A19" s="11" t="inlineStr">
        <is>
          <t>Lucro líquido anual (Bs)</t>
        </is>
      </c>
      <c r="B19" s="38">
        <f>B18*Supostos!$B$9</f>
        <v/>
      </c>
      <c r="C19" s="38">
        <f>C18*Supostos!$B$9</f>
        <v/>
      </c>
      <c r="D19" s="38">
        <f>D18*Supostos!$B$9</f>
        <v/>
      </c>
      <c r="E19" s="38">
        <f>E18*Supostos!$B$9</f>
        <v/>
      </c>
    </row>
    <row r="20">
      <c r="A20" s="7" t="inlineStr">
        <is>
          <t>Margem líquida (% da receita bruta)</t>
        </is>
      </c>
      <c r="B20" s="39">
        <f>IFERROR(B18/B10,0)</f>
        <v/>
      </c>
      <c r="C20" s="39">
        <f>IFERROR(C18/C10,0)</f>
        <v/>
      </c>
      <c r="D20" s="39">
        <f>IFERROR(D18/D10,0)</f>
        <v/>
      </c>
      <c r="E20" s="39">
        <f>IFERROR(E18/E10,0)</f>
        <v/>
      </c>
    </row>
    <row r="21">
      <c r="A21" s="7" t="inlineStr">
        <is>
          <t>Pessoas na equipe</t>
        </is>
      </c>
      <c r="B21" s="33">
        <f>Equipe!E22</f>
        <v/>
      </c>
      <c r="C21" s="33">
        <f>Equipe!F22</f>
        <v/>
      </c>
      <c r="D21" s="33">
        <f>Equipe!G22</f>
        <v/>
      </c>
      <c r="E21" s="33">
        <f>Equipe!H22</f>
        <v/>
      </c>
    </row>
    <row r="22">
      <c r="A22" s="7" t="inlineStr">
        <is>
          <t>Estabelecimentos atendidos</t>
        </is>
      </c>
      <c r="B22" s="40">
        <f>B6+B7+B8</f>
        <v/>
      </c>
      <c r="C22" s="40">
        <f>C6+C7+C8</f>
        <v/>
      </c>
      <c r="D22" s="40">
        <f>D6+D7+D8</f>
        <v/>
      </c>
      <c r="E22" s="40">
        <f>E6+E7+E8</f>
        <v/>
      </c>
    </row>
    <row r="24">
      <c r="A24" s="16" t="inlineStr">
        <is>
          <t>Como ler:</t>
        </is>
      </c>
    </row>
    <row r="25">
      <c r="A25" s="17" t="inlineStr">
        <is>
          <t>• Fase 1 = Red Centro (San Luis + 8 centros, 1 hospital 2º nível e o Oncológico).</t>
        </is>
      </c>
    </row>
    <row r="26">
      <c r="A26" s="17" t="inlineStr">
        <is>
          <t>• Fase 2 = município de Santa Cruz de la Sierra (4 redes urbanas). Fase 3 = departamento de Santa Cruz (19 redes). Fase 4 = Bolívia inteira (106 redes).</t>
        </is>
      </c>
    </row>
    <row r="27">
      <c r="A27" s="17" t="inlineStr">
        <is>
          <t>• A Fase 1 sozinha não paga uma equipe: o SIVEC fica de pé a partir da Fase 2. Até lá, o custo é basicamente o seu tempo.</t>
        </is>
      </c>
    </row>
    <row r="28">
      <c r="A28" s="17" t="inlineStr">
        <is>
          <t>• Mude os preços na aba Supostos e as quantidades nas abas Departamentos e Municípios: tudo recalcula.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90" customWidth="1" min="3" max="3"/>
  </cols>
  <sheetData>
    <row r="1">
      <c r="A1" s="1" t="inlineStr">
        <is>
          <t>SIVEC — Supostos da métrica</t>
        </is>
      </c>
    </row>
    <row r="2">
      <c r="A2" s="2" t="inlineStr">
        <is>
          <t>Células em azul = valores que você pode mudar. Amarelo = estimativa a confirmar. Todas as outras abas recalculam sozinhas.</t>
        </is>
      </c>
    </row>
    <row r="4">
      <c r="A4" s="3" t="inlineStr">
        <is>
          <t>Suposto</t>
        </is>
      </c>
      <c r="B4" s="3" t="inlineStr">
        <is>
          <t>Valor</t>
        </is>
      </c>
      <c r="C4" s="3" t="inlineStr">
        <is>
          <t>Observação / fonte</t>
        </is>
      </c>
    </row>
    <row r="5">
      <c r="A5" s="4" t="inlineStr">
        <is>
          <t>Preço mensal · centro de 1º nível (US$)</t>
        </is>
      </c>
      <c r="B5" s="41" t="n">
        <v>120</v>
      </c>
      <c r="C5" s="19" t="inlineStr">
        <is>
          <t>Definido pelo autor (26/09/2026).</t>
        </is>
      </c>
    </row>
    <row r="6">
      <c r="A6" s="4" t="inlineStr">
        <is>
          <t>Preço mensal · hospital de 2º nível (US$)</t>
        </is>
      </c>
      <c r="B6" s="41" t="n">
        <v>275</v>
      </c>
      <c r="C6" s="19" t="inlineStr">
        <is>
          <t>Definido pelo autor (26/09/2026).</t>
        </is>
      </c>
    </row>
    <row r="7">
      <c r="A7" s="4" t="inlineStr">
        <is>
          <t>Preço mensal · 3º nível, laboratório e oncológico (US$)</t>
        </is>
      </c>
      <c r="B7" s="41" t="n">
        <v>521</v>
      </c>
      <c r="C7" s="19" t="inlineStr">
        <is>
          <t>Definido pelo autor (26/09/2026).</t>
        </is>
      </c>
    </row>
    <row r="8">
      <c r="A8" s="4" t="inlineStr">
        <is>
          <t>Preço mensal · rede de saúde (tablero do gestor + mapa) (US$)</t>
        </is>
      </c>
      <c r="B8" s="42" t="n">
        <v>250</v>
      </c>
      <c r="C8" s="19" t="inlineStr">
        <is>
          <t>PROPOSTA do Claude: o autor pediu para incluir a rede, mas não deu valor. Ajuste aqui.</t>
        </is>
      </c>
    </row>
    <row r="9">
      <c r="A9" s="4" t="inlineStr">
        <is>
          <t>Câmbio (Bs por US$)</t>
        </is>
      </c>
      <c r="B9" s="21" t="n">
        <v>6.96</v>
      </c>
      <c r="C9" s="19" t="inlineStr">
        <is>
          <t>Tipo de câmbio oficial do Banco Central de Bolivia.</t>
        </is>
      </c>
    </row>
    <row r="10">
      <c r="A10" s="4" t="inlineStr">
        <is>
          <t>Impostos sobre o faturamento (IVA 13% + IT 3%)</t>
        </is>
      </c>
      <c r="B10" s="43" t="n">
        <v>0.16</v>
      </c>
      <c r="C10" s="19" t="inlineStr">
        <is>
          <t>Bolívia: IVA 13% e IT 3% sobre a fatura. Supõe que o preço ao governo já inclui impostos.</t>
        </is>
      </c>
    </row>
    <row r="11">
      <c r="A11" s="4" t="inlineStr">
        <is>
          <t>Imposto sobre o lucro (IUE)</t>
        </is>
      </c>
      <c r="B11" s="43" t="n">
        <v>0.25</v>
      </c>
      <c r="C11" s="19" t="inlineStr">
        <is>
          <t>Bolívia: IUE 25% sobre a utilidade.</t>
        </is>
      </c>
    </row>
    <row r="12">
      <c r="A12" s="4" t="inlineStr">
        <is>
          <t>Encargos sociais sobre salário (patronais + aguinaldo + indenização)</t>
        </is>
      </c>
      <c r="B12" s="44" t="n">
        <v>0.33</v>
      </c>
      <c r="C12" s="19" t="inlineStr">
        <is>
          <t>Estimativa: aportes patronais ~16,7% + aguinaldo 8,3% + previsão de indenização 8,3%. Confirmar com o contador.</t>
        </is>
      </c>
    </row>
    <row r="15">
      <c r="A15" s="16" t="inlineStr">
        <is>
          <t>Legenda</t>
        </is>
      </c>
    </row>
    <row r="16">
      <c r="A16" s="24" t="inlineStr">
        <is>
          <t>Azul = entrada editável</t>
        </is>
      </c>
    </row>
    <row r="17">
      <c r="A17" s="25" t="inlineStr">
        <is>
          <t>Fundo amarelo = estimativa (confirmar com SNIS/SEDES/município)</t>
        </is>
      </c>
    </row>
    <row r="18">
      <c r="A18" s="4" t="inlineStr">
        <is>
          <t>Preto = fórmula</t>
        </is>
      </c>
    </row>
    <row r="19">
      <c r="A19" s="26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6" customWidth="1" min="9" max="9"/>
    <col width="18" customWidth="1" min="10" max="10"/>
    <col width="70" customWidth="1" min="11" max="11"/>
  </cols>
  <sheetData>
    <row r="1">
      <c r="A1" s="1" t="inlineStr">
        <is>
          <t>Receita potencial por departamento (100% dos estabelecimentos públicos)</t>
        </is>
      </c>
    </row>
    <row r="2">
      <c r="A2" s="2" t="inlineStr">
        <is>
          <t>Redes: Ministério de Saúde (106 redes). Estabelecimentos: estimativa distribuída pela população e pelo nº de redes; Cochabamba com dado do SEDES.</t>
        </is>
      </c>
    </row>
    <row r="4" ht="45" customHeight="1">
      <c r="A4" s="3" t="inlineStr">
        <is>
          <t>Departamento</t>
        </is>
      </c>
      <c r="B4" s="3" t="inlineStr">
        <is>
          <t>População (Censo 2024)</t>
        </is>
      </c>
      <c r="C4" s="3" t="inlineStr">
        <is>
          <t>Redes de saúde</t>
        </is>
      </c>
      <c r="D4" s="3" t="inlineStr">
        <is>
          <t>Centros 1º nível</t>
        </is>
      </c>
      <c r="E4" s="3" t="inlineStr">
        <is>
          <t>Hospitais 2º nível</t>
        </is>
      </c>
      <c r="F4" s="3" t="inlineStr">
        <is>
          <t>3º nível + labs + oncológico</t>
        </is>
      </c>
      <c r="G4" s="3" t="inlineStr">
        <is>
          <t>Receita mensal (US$)</t>
        </is>
      </c>
      <c r="H4" s="3" t="inlineStr">
        <is>
          <t>Receita anual (US$)</t>
        </is>
      </c>
      <c r="I4" s="3" t="inlineStr">
        <is>
          <t>Receita mensal (Bs)</t>
        </is>
      </c>
      <c r="J4" s="3" t="inlineStr">
        <is>
          <t>Receita anual (Bs)</t>
        </is>
      </c>
      <c r="K4" s="3" t="inlineStr">
        <is>
          <t>Fonte / observação</t>
        </is>
      </c>
    </row>
    <row r="5">
      <c r="A5" s="4" t="inlineStr">
        <is>
          <t>Santa Cruz</t>
        </is>
      </c>
      <c r="B5" s="32" t="n">
        <v>3122605</v>
      </c>
      <c r="C5" s="32" t="n">
        <v>19</v>
      </c>
      <c r="D5" s="45" t="n">
        <v>796</v>
      </c>
      <c r="E5" s="45" t="n">
        <v>52</v>
      </c>
      <c r="F5" s="45" t="n">
        <v>13</v>
      </c>
      <c r="G5" s="34">
        <f>C5*Supostos!$B$8+D5*Supostos!$B$5+E5*Supostos!$B$6+F5*Supostos!$B$7</f>
        <v/>
      </c>
      <c r="H5" s="34">
        <f>G5*12</f>
        <v/>
      </c>
      <c r="I5" s="35">
        <f>G5*Supostos!$B$9</f>
        <v/>
      </c>
      <c r="J5" s="35">
        <f>H5*Supostos!$B$9</f>
        <v/>
      </c>
      <c r="K5" s="19" t="inlineStr">
        <is>
          <t>Estimativa (1º e 2º distribuídos por população e redes).</t>
        </is>
      </c>
    </row>
    <row r="6">
      <c r="A6" s="4" t="inlineStr">
        <is>
          <t>La Paz</t>
        </is>
      </c>
      <c r="B6" s="32" t="n">
        <v>3030917</v>
      </c>
      <c r="C6" s="32" t="n">
        <v>24</v>
      </c>
      <c r="D6" s="45" t="n">
        <v>864</v>
      </c>
      <c r="E6" s="45" t="n">
        <v>57</v>
      </c>
      <c r="F6" s="45" t="n">
        <v>13</v>
      </c>
      <c r="G6" s="34">
        <f>C6*Supostos!$B$8+D6*Supostos!$B$5+E6*Supostos!$B$6+F6*Supostos!$B$7</f>
        <v/>
      </c>
      <c r="H6" s="34">
        <f>G6*12</f>
        <v/>
      </c>
      <c r="I6" s="35">
        <f>G6*Supostos!$B$9</f>
        <v/>
      </c>
      <c r="J6" s="35">
        <f>H6*Supostos!$B$9</f>
        <v/>
      </c>
      <c r="K6" s="19" t="inlineStr">
        <is>
          <t>Estimativa (1º e 2º distribuídos por população e redes).</t>
        </is>
      </c>
    </row>
    <row r="7">
      <c r="A7" s="4" t="inlineStr">
        <is>
          <t>Cochabamba</t>
        </is>
      </c>
      <c r="B7" s="45" t="n">
        <v>2005000</v>
      </c>
      <c r="C7" s="32" t="n">
        <v>16</v>
      </c>
      <c r="D7" s="32" t="n">
        <v>485</v>
      </c>
      <c r="E7" s="32" t="n">
        <v>56</v>
      </c>
      <c r="F7" s="45" t="n">
        <v>7</v>
      </c>
      <c r="G7" s="34">
        <f>C7*Supostos!$B$8+D7*Supostos!$B$5+E7*Supostos!$B$6+F7*Supostos!$B$7</f>
        <v/>
      </c>
      <c r="H7" s="34">
        <f>G7*12</f>
        <v/>
      </c>
      <c r="I7" s="35">
        <f>G7*Supostos!$B$9</f>
        <v/>
      </c>
      <c r="J7" s="35">
        <f>H7*Supostos!$B$9</f>
        <v/>
      </c>
      <c r="K7" s="19" t="inlineStr">
        <is>
          <t>SEDES Cochabamba: 264 centros + 221 postos (1º) e 41 básicos + 15 gerais (2º).</t>
        </is>
      </c>
    </row>
    <row r="8">
      <c r="A8" s="4" t="inlineStr">
        <is>
          <t>Potosí</t>
        </is>
      </c>
      <c r="B8" s="45" t="n">
        <v>856000</v>
      </c>
      <c r="C8" s="32" t="n">
        <v>11</v>
      </c>
      <c r="D8" s="45" t="n">
        <v>314</v>
      </c>
      <c r="E8" s="45" t="n">
        <v>21</v>
      </c>
      <c r="F8" s="45" t="n">
        <v>3</v>
      </c>
      <c r="G8" s="34">
        <f>C8*Supostos!$B$8+D8*Supostos!$B$5+E8*Supostos!$B$6+F8*Supostos!$B$7</f>
        <v/>
      </c>
      <c r="H8" s="34">
        <f>G8*12</f>
        <v/>
      </c>
      <c r="I8" s="35">
        <f>G8*Supostos!$B$9</f>
        <v/>
      </c>
      <c r="J8" s="35">
        <f>H8*Supostos!$B$9</f>
        <v/>
      </c>
      <c r="K8" s="19" t="inlineStr">
        <is>
          <t>Estimativa (1º e 2º distribuídos por população e redes).</t>
        </is>
      </c>
    </row>
    <row r="9">
      <c r="A9" s="4" t="inlineStr">
        <is>
          <t>Chuquisaca</t>
        </is>
      </c>
      <c r="B9" s="45" t="n">
        <v>600000</v>
      </c>
      <c r="C9" s="32" t="n">
        <v>7</v>
      </c>
      <c r="D9" s="45" t="n">
        <v>208</v>
      </c>
      <c r="E9" s="45" t="n">
        <v>14</v>
      </c>
      <c r="F9" s="45" t="n">
        <v>4</v>
      </c>
      <c r="G9" s="34">
        <f>C9*Supostos!$B$8+D9*Supostos!$B$5+E9*Supostos!$B$6+F9*Supostos!$B$7</f>
        <v/>
      </c>
      <c r="H9" s="34">
        <f>G9*12</f>
        <v/>
      </c>
      <c r="I9" s="35">
        <f>G9*Supostos!$B$9</f>
        <v/>
      </c>
      <c r="J9" s="35">
        <f>H9*Supostos!$B$9</f>
        <v/>
      </c>
      <c r="K9" s="19" t="inlineStr">
        <is>
          <t>Estimativa (1º e 2º distribuídos por população e redes).</t>
        </is>
      </c>
    </row>
    <row r="10">
      <c r="A10" s="4" t="inlineStr">
        <is>
          <t>Oruro</t>
        </is>
      </c>
      <c r="B10" s="45" t="n">
        <v>570000</v>
      </c>
      <c r="C10" s="32" t="n">
        <v>6</v>
      </c>
      <c r="D10" s="45" t="n">
        <v>187</v>
      </c>
      <c r="E10" s="45" t="n">
        <v>12</v>
      </c>
      <c r="F10" s="45" t="n">
        <v>3</v>
      </c>
      <c r="G10" s="34">
        <f>C10*Supostos!$B$8+D10*Supostos!$B$5+E10*Supostos!$B$6+F10*Supostos!$B$7</f>
        <v/>
      </c>
      <c r="H10" s="34">
        <f>G10*12</f>
        <v/>
      </c>
      <c r="I10" s="35">
        <f>G10*Supostos!$B$9</f>
        <v/>
      </c>
      <c r="J10" s="35">
        <f>H10*Supostos!$B$9</f>
        <v/>
      </c>
      <c r="K10" s="19" t="inlineStr">
        <is>
          <t>Estimativa (1º e 2º distribuídos por população e redes).</t>
        </is>
      </c>
    </row>
    <row r="11">
      <c r="A11" s="4" t="inlineStr">
        <is>
          <t>Tarija</t>
        </is>
      </c>
      <c r="B11" s="45" t="n">
        <v>535000</v>
      </c>
      <c r="C11" s="32" t="n">
        <v>11</v>
      </c>
      <c r="D11" s="45" t="n">
        <v>264</v>
      </c>
      <c r="E11" s="45" t="n">
        <v>17</v>
      </c>
      <c r="F11" s="45" t="n">
        <v>4</v>
      </c>
      <c r="G11" s="34">
        <f>C11*Supostos!$B$8+D11*Supostos!$B$5+E11*Supostos!$B$6+F11*Supostos!$B$7</f>
        <v/>
      </c>
      <c r="H11" s="34">
        <f>G11*12</f>
        <v/>
      </c>
      <c r="I11" s="35">
        <f>G11*Supostos!$B$9</f>
        <v/>
      </c>
      <c r="J11" s="35">
        <f>H11*Supostos!$B$9</f>
        <v/>
      </c>
      <c r="K11" s="19" t="inlineStr">
        <is>
          <t>Estimativa (1º e 2º distribuídos por população e redes).</t>
        </is>
      </c>
    </row>
    <row r="12">
      <c r="A12" s="4" t="inlineStr">
        <is>
          <t>Beni</t>
        </is>
      </c>
      <c r="B12" s="45" t="n">
        <v>477000</v>
      </c>
      <c r="C12" s="32" t="n">
        <v>9</v>
      </c>
      <c r="D12" s="45" t="n">
        <v>222</v>
      </c>
      <c r="E12" s="45" t="n">
        <v>15</v>
      </c>
      <c r="F12" s="45" t="n">
        <v>2</v>
      </c>
      <c r="G12" s="34">
        <f>C12*Supostos!$B$8+D12*Supostos!$B$5+E12*Supostos!$B$6+F12*Supostos!$B$7</f>
        <v/>
      </c>
      <c r="H12" s="34">
        <f>G12*12</f>
        <v/>
      </c>
      <c r="I12" s="35">
        <f>G12*Supostos!$B$9</f>
        <v/>
      </c>
      <c r="J12" s="35">
        <f>H12*Supostos!$B$9</f>
        <v/>
      </c>
      <c r="K12" s="19" t="inlineStr">
        <is>
          <t>Estimativa (1º e 2º distribuídos por população e redes).</t>
        </is>
      </c>
    </row>
    <row r="13">
      <c r="A13" s="4" t="inlineStr">
        <is>
          <t>Pando</t>
        </is>
      </c>
      <c r="B13" s="45" t="n">
        <v>131000</v>
      </c>
      <c r="C13" s="32" t="n">
        <v>3</v>
      </c>
      <c r="D13" s="45" t="n">
        <v>70</v>
      </c>
      <c r="E13" s="45" t="n">
        <v>5</v>
      </c>
      <c r="F13" s="45" t="n">
        <v>2</v>
      </c>
      <c r="G13" s="34">
        <f>C13*Supostos!$B$8+D13*Supostos!$B$5+E13*Supostos!$B$6+F13*Supostos!$B$7</f>
        <v/>
      </c>
      <c r="H13" s="34">
        <f>G13*12</f>
        <v/>
      </c>
      <c r="I13" s="35">
        <f>G13*Supostos!$B$9</f>
        <v/>
      </c>
      <c r="J13" s="35">
        <f>H13*Supostos!$B$9</f>
        <v/>
      </c>
      <c r="K13" s="19" t="inlineStr">
        <is>
          <t>Estimativa (1º e 2º distribuídos por população e redes).</t>
        </is>
      </c>
    </row>
    <row r="14">
      <c r="A14" s="11" t="inlineStr">
        <is>
          <t>BOLÍVIA (total)</t>
        </is>
      </c>
      <c r="B14" s="46">
        <f>SUM(B5:B13)</f>
        <v/>
      </c>
      <c r="C14" s="46">
        <f>SUM(C5:C13)</f>
        <v/>
      </c>
      <c r="D14" s="46">
        <f>SUM(D5:D13)</f>
        <v/>
      </c>
      <c r="E14" s="46">
        <f>SUM(E5:E13)</f>
        <v/>
      </c>
      <c r="F14" s="46">
        <f>SUM(F5:F13)</f>
        <v/>
      </c>
      <c r="G14" s="37">
        <f>SUM(G5:G13)</f>
        <v/>
      </c>
      <c r="H14" s="37">
        <f>SUM(H5:H13)</f>
        <v/>
      </c>
      <c r="I14" s="38">
        <f>SUM(I5:I13)</f>
        <v/>
      </c>
      <c r="J14" s="38">
        <f>SUM(J5:J13)</f>
        <v/>
      </c>
    </row>
    <row r="16">
      <c r="A16" s="29" t="inlineStr">
        <is>
          <t>Notas:</t>
        </is>
      </c>
    </row>
    <row r="17">
      <c r="A17" s="19" t="inlineStr">
        <is>
          <t>• 3º nível: 39 hospitais de 3º nível recebem recursos do SUS (Ministério de Saúde, abr/2025); somamos 1 laboratório de citologia por departamento e os institutos oncológicos de SC, LP e CB.</t>
        </is>
      </c>
    </row>
    <row r="18">
      <c r="A18" s="19" t="inlineStr">
        <is>
          <t>• Totais nacionais usados na estimativa: ~3.500 estabelecimentos de 1º nível e ~230 de 2º nível no setor público (INE: 2.958 e 214 em 2008; 3.574 no total em 2012; 4.133 em 2020 contando todos os setores).</t>
        </is>
      </c>
    </row>
    <row r="19">
      <c r="A19" s="19" t="inlineStr">
        <is>
          <t>• Confirmar com as listas oficiais do SNIS por departamento (minsalud.gob.bo/images/web/SUS/Estab_&lt;Departamento&gt;.pdf) e trocar as células amarelas.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6" customWidth="1" min="10" max="10"/>
    <col width="18" customWidth="1" min="11" max="11"/>
    <col width="70" customWidth="1" min="12" max="12"/>
  </cols>
  <sheetData>
    <row r="1">
      <c r="A1" s="1" t="inlineStr">
        <is>
          <t>Receita potencial por cidade (as 16 maiores)</t>
        </is>
      </c>
    </row>
    <row r="2">
      <c r="A2" s="2" t="inlineStr">
        <is>
          <t>Estimativas por cidade. Onde há fonte, está indicada; o resto é estimativa para confirmar com cada município.</t>
        </is>
      </c>
    </row>
    <row r="4" ht="45" customHeight="1">
      <c r="A4" s="3" t="inlineStr">
        <is>
          <t>Município</t>
        </is>
      </c>
      <c r="B4" s="3" t="inlineStr">
        <is>
          <t>Departamento</t>
        </is>
      </c>
      <c r="C4" s="3" t="inlineStr">
        <is>
          <t>População (aprox.)</t>
        </is>
      </c>
      <c r="D4" s="3" t="inlineStr">
        <is>
          <t>Redes</t>
        </is>
      </c>
      <c r="E4" s="3" t="inlineStr">
        <is>
          <t>Centros 1º nível</t>
        </is>
      </c>
      <c r="F4" s="3" t="inlineStr">
        <is>
          <t>Hospitais 2º nível</t>
        </is>
      </c>
      <c r="G4" s="3" t="inlineStr">
        <is>
          <t>3º nível + labs</t>
        </is>
      </c>
      <c r="H4" s="3" t="inlineStr">
        <is>
          <t>Receita mensal (US$)</t>
        </is>
      </c>
      <c r="I4" s="3" t="inlineStr">
        <is>
          <t>Receita anual (US$)</t>
        </is>
      </c>
      <c r="J4" s="3" t="inlineStr">
        <is>
          <t>Receita mensal (Bs)</t>
        </is>
      </c>
      <c r="K4" s="3" t="inlineStr">
        <is>
          <t>Receita anual (Bs)</t>
        </is>
      </c>
      <c r="L4" s="3" t="inlineStr">
        <is>
          <t>Fonte / observação</t>
        </is>
      </c>
    </row>
    <row r="5">
      <c r="A5" s="4" t="inlineStr">
        <is>
          <t>Santa Cruz de la Sierra</t>
        </is>
      </c>
      <c r="B5" s="4" t="inlineStr">
        <is>
          <t>Santa Cruz</t>
        </is>
      </c>
      <c r="C5" s="45" t="n">
        <v>1600000</v>
      </c>
      <c r="D5" s="32" t="n">
        <v>4</v>
      </c>
      <c r="E5" s="32" t="n">
        <v>65</v>
      </c>
      <c r="F5" s="45" t="n">
        <v>10</v>
      </c>
      <c r="G5" s="45" t="n">
        <v>8</v>
      </c>
      <c r="H5" s="34">
        <f>D5*Supostos!$B$8+E5*Supostos!$B$5+F5*Supostos!$B$6+G5*Supostos!$B$7</f>
        <v/>
      </c>
      <c r="I5" s="34">
        <f>H5*12</f>
        <v/>
      </c>
      <c r="J5" s="35">
        <f>H5*Supostos!$B$9</f>
        <v/>
      </c>
      <c r="K5" s="35">
        <f>I5*Supostos!$B$9</f>
        <v/>
      </c>
      <c r="L5" s="19" t="inlineStr">
        <is>
          <t>Redes Norte, Sur, Este e Centro e 65 centros (El Deber, 2020). 2º e 3º nível: estimativa.</t>
        </is>
      </c>
    </row>
    <row r="6">
      <c r="A6" s="4" t="inlineStr">
        <is>
          <t>La Paz</t>
        </is>
      </c>
      <c r="B6" s="4" t="inlineStr">
        <is>
          <t>La Paz</t>
        </is>
      </c>
      <c r="C6" s="45" t="n">
        <v>760000</v>
      </c>
      <c r="D6" s="32" t="n">
        <v>4</v>
      </c>
      <c r="E6" s="45" t="n">
        <v>150</v>
      </c>
      <c r="F6" s="45" t="n">
        <v>29</v>
      </c>
      <c r="G6" s="45" t="n">
        <v>17</v>
      </c>
      <c r="H6" s="34">
        <f>D6*Supostos!$B$8+E6*Supostos!$B$5+F6*Supostos!$B$6+G6*Supostos!$B$7</f>
        <v/>
      </c>
      <c r="I6" s="34">
        <f>H6*12</f>
        <v/>
      </c>
      <c r="J6" s="35">
        <f>H6*Supostos!$B$9</f>
        <v/>
      </c>
      <c r="K6" s="35">
        <f>I6*Supostos!$B$9</f>
        <v/>
      </c>
      <c r="L6" s="19" t="inlineStr">
        <is>
          <t>GAM La Paz 2017: 150 de 1º, 29 de 2º, 17 de 3º nível (todos os setores). Redes: estimativa.</t>
        </is>
      </c>
    </row>
    <row r="7">
      <c r="A7" s="4" t="inlineStr">
        <is>
          <t>El Alto</t>
        </is>
      </c>
      <c r="B7" s="4" t="inlineStr">
        <is>
          <t>La Paz</t>
        </is>
      </c>
      <c r="C7" s="45" t="n">
        <v>890000</v>
      </c>
      <c r="D7" s="45" t="n">
        <v>5</v>
      </c>
      <c r="E7" s="45" t="n">
        <v>90</v>
      </c>
      <c r="F7" s="45" t="n">
        <v>6</v>
      </c>
      <c r="G7" s="45" t="n">
        <v>2</v>
      </c>
      <c r="H7" s="34">
        <f>D7*Supostos!$B$8+E7*Supostos!$B$5+F7*Supostos!$B$6+G7*Supostos!$B$7</f>
        <v/>
      </c>
      <c r="I7" s="34">
        <f>H7*12</f>
        <v/>
      </c>
      <c r="J7" s="35">
        <f>H7*Supostos!$B$9</f>
        <v/>
      </c>
      <c r="K7" s="35">
        <f>I7*Supostos!$B$9</f>
        <v/>
      </c>
      <c r="L7" s="19" t="inlineStr">
        <is>
          <t>Estimativa.</t>
        </is>
      </c>
    </row>
    <row r="8">
      <c r="A8" s="4" t="inlineStr">
        <is>
          <t>Cochabamba (Cercado)</t>
        </is>
      </c>
      <c r="B8" s="4" t="inlineStr">
        <is>
          <t>Cochabamba</t>
        </is>
      </c>
      <c r="C8" s="45" t="n">
        <v>670000</v>
      </c>
      <c r="D8" s="45" t="n">
        <v>4</v>
      </c>
      <c r="E8" s="45" t="n">
        <v>60</v>
      </c>
      <c r="F8" s="45" t="n">
        <v>6</v>
      </c>
      <c r="G8" s="45" t="n">
        <v>5</v>
      </c>
      <c r="H8" s="34">
        <f>D8*Supostos!$B$8+E8*Supostos!$B$5+F8*Supostos!$B$6+G8*Supostos!$B$7</f>
        <v/>
      </c>
      <c r="I8" s="34">
        <f>H8*12</f>
        <v/>
      </c>
      <c r="J8" s="35">
        <f>H8*Supostos!$B$9</f>
        <v/>
      </c>
      <c r="K8" s="35">
        <f>I8*Supostos!$B$9</f>
        <v/>
      </c>
      <c r="L8" s="19" t="inlineStr">
        <is>
          <t>Estimativa.</t>
        </is>
      </c>
    </row>
    <row r="9">
      <c r="A9" s="4" t="inlineStr">
        <is>
          <t>Sucre</t>
        </is>
      </c>
      <c r="B9" s="4" t="inlineStr">
        <is>
          <t>Chuquisaca</t>
        </is>
      </c>
      <c r="C9" s="45" t="n">
        <v>300000</v>
      </c>
      <c r="D9" s="45" t="n">
        <v>2</v>
      </c>
      <c r="E9" s="45" t="n">
        <v>30</v>
      </c>
      <c r="F9" s="45" t="n">
        <v>3</v>
      </c>
      <c r="G9" s="45" t="n">
        <v>3</v>
      </c>
      <c r="H9" s="34">
        <f>D9*Supostos!$B$8+E9*Supostos!$B$5+F9*Supostos!$B$6+G9*Supostos!$B$7</f>
        <v/>
      </c>
      <c r="I9" s="34">
        <f>H9*12</f>
        <v/>
      </c>
      <c r="J9" s="35">
        <f>H9*Supostos!$B$9</f>
        <v/>
      </c>
      <c r="K9" s="35">
        <f>I9*Supostos!$B$9</f>
        <v/>
      </c>
      <c r="L9" s="19" t="inlineStr">
        <is>
          <t>Estimativa.</t>
        </is>
      </c>
    </row>
    <row r="10">
      <c r="A10" s="4" t="inlineStr">
        <is>
          <t>Oruro</t>
        </is>
      </c>
      <c r="B10" s="4" t="inlineStr">
        <is>
          <t>Oruro</t>
        </is>
      </c>
      <c r="C10" s="45" t="n">
        <v>280000</v>
      </c>
      <c r="D10" s="45" t="n">
        <v>2</v>
      </c>
      <c r="E10" s="45" t="n">
        <v>30</v>
      </c>
      <c r="F10" s="45" t="n">
        <v>3</v>
      </c>
      <c r="G10" s="45" t="n">
        <v>2</v>
      </c>
      <c r="H10" s="34">
        <f>D10*Supostos!$B$8+E10*Supostos!$B$5+F10*Supostos!$B$6+G10*Supostos!$B$7</f>
        <v/>
      </c>
      <c r="I10" s="34">
        <f>H10*12</f>
        <v/>
      </c>
      <c r="J10" s="35">
        <f>H10*Supostos!$B$9</f>
        <v/>
      </c>
      <c r="K10" s="35">
        <f>I10*Supostos!$B$9</f>
        <v/>
      </c>
      <c r="L10" s="19" t="inlineStr">
        <is>
          <t>Estimativa.</t>
        </is>
      </c>
    </row>
    <row r="11">
      <c r="A11" s="4" t="inlineStr">
        <is>
          <t>Tarija (Cercado)</t>
        </is>
      </c>
      <c r="B11" s="4" t="inlineStr">
        <is>
          <t>Tarija</t>
        </is>
      </c>
      <c r="C11" s="45" t="n">
        <v>270000</v>
      </c>
      <c r="D11" s="45" t="n">
        <v>2</v>
      </c>
      <c r="E11" s="45" t="n">
        <v>30</v>
      </c>
      <c r="F11" s="45" t="n">
        <v>3</v>
      </c>
      <c r="G11" s="45" t="n">
        <v>3</v>
      </c>
      <c r="H11" s="34">
        <f>D11*Supostos!$B$8+E11*Supostos!$B$5+F11*Supostos!$B$6+G11*Supostos!$B$7</f>
        <v/>
      </c>
      <c r="I11" s="34">
        <f>H11*12</f>
        <v/>
      </c>
      <c r="J11" s="35">
        <f>H11*Supostos!$B$9</f>
        <v/>
      </c>
      <c r="K11" s="35">
        <f>I11*Supostos!$B$9</f>
        <v/>
      </c>
      <c r="L11" s="19" t="inlineStr">
        <is>
          <t>Estimativa.</t>
        </is>
      </c>
    </row>
    <row r="12">
      <c r="A12" s="4" t="inlineStr">
        <is>
          <t>Potosí</t>
        </is>
      </c>
      <c r="B12" s="4" t="inlineStr">
        <is>
          <t>Potosí</t>
        </is>
      </c>
      <c r="C12" s="45" t="n">
        <v>220000</v>
      </c>
      <c r="D12" s="45" t="n">
        <v>2</v>
      </c>
      <c r="E12" s="45" t="n">
        <v>25</v>
      </c>
      <c r="F12" s="45" t="n">
        <v>2</v>
      </c>
      <c r="G12" s="45" t="n">
        <v>2</v>
      </c>
      <c r="H12" s="34">
        <f>D12*Supostos!$B$8+E12*Supostos!$B$5+F12*Supostos!$B$6+G12*Supostos!$B$7</f>
        <v/>
      </c>
      <c r="I12" s="34">
        <f>H12*12</f>
        <v/>
      </c>
      <c r="J12" s="35">
        <f>H12*Supostos!$B$9</f>
        <v/>
      </c>
      <c r="K12" s="35">
        <f>I12*Supostos!$B$9</f>
        <v/>
      </c>
      <c r="L12" s="19" t="inlineStr">
        <is>
          <t>Estimativa.</t>
        </is>
      </c>
    </row>
    <row r="13">
      <c r="A13" s="4" t="inlineStr">
        <is>
          <t>Sacaba</t>
        </is>
      </c>
      <c r="B13" s="4" t="inlineStr">
        <is>
          <t>Cochabamba</t>
        </is>
      </c>
      <c r="C13" s="45" t="n">
        <v>210000</v>
      </c>
      <c r="D13" s="45" t="n">
        <v>1</v>
      </c>
      <c r="E13" s="45" t="n">
        <v>20</v>
      </c>
      <c r="F13" s="45" t="n">
        <v>1</v>
      </c>
      <c r="G13" s="45" t="n">
        <v>0</v>
      </c>
      <c r="H13" s="34">
        <f>D13*Supostos!$B$8+E13*Supostos!$B$5+F13*Supostos!$B$6+G13*Supostos!$B$7</f>
        <v/>
      </c>
      <c r="I13" s="34">
        <f>H13*12</f>
        <v/>
      </c>
      <c r="J13" s="35">
        <f>H13*Supostos!$B$9</f>
        <v/>
      </c>
      <c r="K13" s="35">
        <f>I13*Supostos!$B$9</f>
        <v/>
      </c>
      <c r="L13" s="19" t="inlineStr">
        <is>
          <t>Estimativa.</t>
        </is>
      </c>
    </row>
    <row r="14">
      <c r="A14" s="4" t="inlineStr">
        <is>
          <t>Quillacollo</t>
        </is>
      </c>
      <c r="B14" s="4" t="inlineStr">
        <is>
          <t>Cochabamba</t>
        </is>
      </c>
      <c r="C14" s="45" t="n">
        <v>150000</v>
      </c>
      <c r="D14" s="45" t="n">
        <v>1</v>
      </c>
      <c r="E14" s="45" t="n">
        <v>15</v>
      </c>
      <c r="F14" s="45" t="n">
        <v>1</v>
      </c>
      <c r="G14" s="45" t="n">
        <v>0</v>
      </c>
      <c r="H14" s="34">
        <f>D14*Supostos!$B$8+E14*Supostos!$B$5+F14*Supostos!$B$6+G14*Supostos!$B$7</f>
        <v/>
      </c>
      <c r="I14" s="34">
        <f>H14*12</f>
        <v/>
      </c>
      <c r="J14" s="35">
        <f>H14*Supostos!$B$9</f>
        <v/>
      </c>
      <c r="K14" s="35">
        <f>I14*Supostos!$B$9</f>
        <v/>
      </c>
      <c r="L14" s="19" t="inlineStr">
        <is>
          <t>Estimativa.</t>
        </is>
      </c>
    </row>
    <row r="15">
      <c r="A15" s="4" t="inlineStr">
        <is>
          <t>Montero</t>
        </is>
      </c>
      <c r="B15" s="4" t="inlineStr">
        <is>
          <t>Santa Cruz</t>
        </is>
      </c>
      <c r="C15" s="45" t="n">
        <v>140000</v>
      </c>
      <c r="D15" s="45" t="n">
        <v>1</v>
      </c>
      <c r="E15" s="45" t="n">
        <v>15</v>
      </c>
      <c r="F15" s="45" t="n">
        <v>2</v>
      </c>
      <c r="G15" s="45" t="n">
        <v>0</v>
      </c>
      <c r="H15" s="34">
        <f>D15*Supostos!$B$8+E15*Supostos!$B$5+F15*Supostos!$B$6+G15*Supostos!$B$7</f>
        <v/>
      </c>
      <c r="I15" s="34">
        <f>H15*12</f>
        <v/>
      </c>
      <c r="J15" s="35">
        <f>H15*Supostos!$B$9</f>
        <v/>
      </c>
      <c r="K15" s="35">
        <f>I15*Supostos!$B$9</f>
        <v/>
      </c>
      <c r="L15" s="19" t="inlineStr">
        <is>
          <t>Estimativa.</t>
        </is>
      </c>
    </row>
    <row r="16">
      <c r="A16" s="4" t="inlineStr">
        <is>
          <t>Trinidad</t>
        </is>
      </c>
      <c r="B16" s="4" t="inlineStr">
        <is>
          <t>Beni</t>
        </is>
      </c>
      <c r="C16" s="45" t="n">
        <v>130000</v>
      </c>
      <c r="D16" s="45" t="n">
        <v>1</v>
      </c>
      <c r="E16" s="45" t="n">
        <v>15</v>
      </c>
      <c r="F16" s="45" t="n">
        <v>1</v>
      </c>
      <c r="G16" s="45" t="n">
        <v>1</v>
      </c>
      <c r="H16" s="34">
        <f>D16*Supostos!$B$8+E16*Supostos!$B$5+F16*Supostos!$B$6+G16*Supostos!$B$7</f>
        <v/>
      </c>
      <c r="I16" s="34">
        <f>H16*12</f>
        <v/>
      </c>
      <c r="J16" s="35">
        <f>H16*Supostos!$B$9</f>
        <v/>
      </c>
      <c r="K16" s="35">
        <f>I16*Supostos!$B$9</f>
        <v/>
      </c>
      <c r="L16" s="19" t="inlineStr">
        <is>
          <t>Estimativa.</t>
        </is>
      </c>
    </row>
    <row r="17">
      <c r="A17" s="4" t="inlineStr">
        <is>
          <t>Warnes</t>
        </is>
      </c>
      <c r="B17" s="4" t="inlineStr">
        <is>
          <t>Santa Cruz</t>
        </is>
      </c>
      <c r="C17" s="45" t="n">
        <v>100000</v>
      </c>
      <c r="D17" s="45" t="n">
        <v>1</v>
      </c>
      <c r="E17" s="45" t="n">
        <v>10</v>
      </c>
      <c r="F17" s="45" t="n">
        <v>1</v>
      </c>
      <c r="G17" s="45" t="n">
        <v>0</v>
      </c>
      <c r="H17" s="34">
        <f>D17*Supostos!$B$8+E17*Supostos!$B$5+F17*Supostos!$B$6+G17*Supostos!$B$7</f>
        <v/>
      </c>
      <c r="I17" s="34">
        <f>H17*12</f>
        <v/>
      </c>
      <c r="J17" s="35">
        <f>H17*Supostos!$B$9</f>
        <v/>
      </c>
      <c r="K17" s="35">
        <f>I17*Supostos!$B$9</f>
        <v/>
      </c>
      <c r="L17" s="19" t="inlineStr">
        <is>
          <t>Estimativa.</t>
        </is>
      </c>
    </row>
    <row r="18">
      <c r="A18" s="4" t="inlineStr">
        <is>
          <t>Yacuiba</t>
        </is>
      </c>
      <c r="B18" s="4" t="inlineStr">
        <is>
          <t>Tarija</t>
        </is>
      </c>
      <c r="C18" s="45" t="n">
        <v>100000</v>
      </c>
      <c r="D18" s="45" t="n">
        <v>1</v>
      </c>
      <c r="E18" s="45" t="n">
        <v>12</v>
      </c>
      <c r="F18" s="45" t="n">
        <v>1</v>
      </c>
      <c r="G18" s="45" t="n">
        <v>1</v>
      </c>
      <c r="H18" s="34">
        <f>D18*Supostos!$B$8+E18*Supostos!$B$5+F18*Supostos!$B$6+G18*Supostos!$B$7</f>
        <v/>
      </c>
      <c r="I18" s="34">
        <f>H18*12</f>
        <v/>
      </c>
      <c r="J18" s="35">
        <f>H18*Supostos!$B$9</f>
        <v/>
      </c>
      <c r="K18" s="35">
        <f>I18*Supostos!$B$9</f>
        <v/>
      </c>
      <c r="L18" s="19" t="inlineStr">
        <is>
          <t>Hospital Fray Quebracho = 3º nível (MSyD 2025). Resto: estimativa.</t>
        </is>
      </c>
    </row>
    <row r="19">
      <c r="A19" s="4" t="inlineStr">
        <is>
          <t>Riberalta</t>
        </is>
      </c>
      <c r="B19" s="4" t="inlineStr">
        <is>
          <t>Beni</t>
        </is>
      </c>
      <c r="C19" s="45" t="n">
        <v>100000</v>
      </c>
      <c r="D19" s="45" t="n">
        <v>1</v>
      </c>
      <c r="E19" s="45" t="n">
        <v>12</v>
      </c>
      <c r="F19" s="45" t="n">
        <v>1</v>
      </c>
      <c r="G19" s="45" t="n">
        <v>0</v>
      </c>
      <c r="H19" s="34">
        <f>D19*Supostos!$B$8+E19*Supostos!$B$5+F19*Supostos!$B$6+G19*Supostos!$B$7</f>
        <v/>
      </c>
      <c r="I19" s="34">
        <f>H19*12</f>
        <v/>
      </c>
      <c r="J19" s="35">
        <f>H19*Supostos!$B$9</f>
        <v/>
      </c>
      <c r="K19" s="35">
        <f>I19*Supostos!$B$9</f>
        <v/>
      </c>
      <c r="L19" s="19" t="inlineStr">
        <is>
          <t>Estimativa.</t>
        </is>
      </c>
    </row>
    <row r="20">
      <c r="A20" s="4" t="inlineStr">
        <is>
          <t>Cobija</t>
        </is>
      </c>
      <c r="B20" s="4" t="inlineStr">
        <is>
          <t>Pando</t>
        </is>
      </c>
      <c r="C20" s="45" t="n">
        <v>70000</v>
      </c>
      <c r="D20" s="45" t="n">
        <v>1</v>
      </c>
      <c r="E20" s="45" t="n">
        <v>8</v>
      </c>
      <c r="F20" s="45" t="n">
        <v>1</v>
      </c>
      <c r="G20" s="45" t="n">
        <v>1</v>
      </c>
      <c r="H20" s="34">
        <f>D20*Supostos!$B$8+E20*Supostos!$B$5+F20*Supostos!$B$6+G20*Supostos!$B$7</f>
        <v/>
      </c>
      <c r="I20" s="34">
        <f>H20*12</f>
        <v/>
      </c>
      <c r="J20" s="35">
        <f>H20*Supostos!$B$9</f>
        <v/>
      </c>
      <c r="K20" s="35">
        <f>I20*Supostos!$B$9</f>
        <v/>
      </c>
      <c r="L20" s="19" t="inlineStr">
        <is>
          <t>Estimativa.</t>
        </is>
      </c>
    </row>
    <row r="21">
      <c r="A21" s="16" t="inlineStr">
        <is>
          <t>Total das 16 cidades</t>
        </is>
      </c>
      <c r="C21" s="46">
        <f>SUM(C5:C20)</f>
        <v/>
      </c>
      <c r="D21" s="46">
        <f>SUM(D5:D20)</f>
        <v/>
      </c>
      <c r="E21" s="46">
        <f>SUM(E5:E20)</f>
        <v/>
      </c>
      <c r="F21" s="46">
        <f>SUM(F5:F20)</f>
        <v/>
      </c>
      <c r="G21" s="46">
        <f>SUM(G5:G20)</f>
        <v/>
      </c>
      <c r="H21" s="37">
        <f>SUM(H5:H20)</f>
        <v/>
      </c>
      <c r="I21" s="37">
        <f>SUM(I5:I20)</f>
        <v/>
      </c>
      <c r="J21" s="38">
        <f>SUM(J5:J20)</f>
        <v/>
      </c>
      <c r="K21" s="38">
        <f>SUM(K5:K20)</f>
        <v/>
      </c>
    </row>
    <row r="22">
      <c r="A22" s="4" t="inlineStr">
        <is>
          <t>Participação das 16 cidades na receita da Bolívia</t>
        </is>
      </c>
      <c r="I22" s="47">
        <f>IFERROR(I21/Departamentos!H14,0)</f>
        <v/>
      </c>
    </row>
    <row r="24">
      <c r="A24" s="19" t="inlineStr">
        <is>
          <t>A Bolívia tem 339 municípios. As listas oficiais de estabelecimentos por município ficam no SNIS; os demais municípios estão contidos nos totais da aba Departamentos.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60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Equipe e cargos por fase</t>
        </is>
      </c>
    </row>
    <row r="2">
      <c r="A2" s="2" t="inlineStr">
        <is>
          <t>Salário mensal bruto em Bs (estimativa de mercado boliviano). Encargos só para empregados; externos recebem honorário.</t>
        </is>
      </c>
    </row>
    <row r="4" ht="60" customHeight="1">
      <c r="A4" s="3" t="inlineStr">
        <is>
          <t>Cargo</t>
        </is>
      </c>
      <c r="B4" s="3" t="inlineStr">
        <is>
          <t>O que faz</t>
        </is>
      </c>
      <c r="C4" s="3" t="inlineStr">
        <is>
          <t>Salário mensal (Bs)</t>
        </is>
      </c>
      <c r="D4" s="3" t="inlineStr">
        <is>
          <t>Externo? (1=sim)</t>
        </is>
      </c>
      <c r="E4" s="3" t="inlineStr">
        <is>
          <t>Pessoas · Fase 1 · Red Centro</t>
        </is>
      </c>
      <c r="F4" s="3" t="inlineStr">
        <is>
          <t>Pessoas · Fase 2 · Município Santa Cruz</t>
        </is>
      </c>
      <c r="G4" s="3" t="inlineStr">
        <is>
          <t>Pessoas · Fase 3 · Departamento Santa Cruz</t>
        </is>
      </c>
      <c r="H4" s="3" t="inlineStr">
        <is>
          <t>Pessoas · Fase 4 · Bolívia inteira</t>
        </is>
      </c>
      <c r="I4" s="3" t="inlineStr">
        <is>
          <t>Custo mensal · Fase 1 · Red Centro (Bs)</t>
        </is>
      </c>
      <c r="J4" s="3" t="inlineStr">
        <is>
          <t>Custo mensal · Fase 2 · Município Santa Cruz (Bs)</t>
        </is>
      </c>
      <c r="K4" s="3" t="inlineStr">
        <is>
          <t>Custo mensal · Fase 3 · Departamento Santa Cruz (Bs)</t>
        </is>
      </c>
      <c r="L4" s="3" t="inlineStr">
        <is>
          <t>Custo mensal · Fase 4 · Bolívia inteira (Bs)</t>
        </is>
      </c>
    </row>
    <row r="5">
      <c r="A5" s="4" t="inlineStr">
        <is>
          <t>Fundador / diretor geral</t>
        </is>
      </c>
      <c r="B5" s="19" t="inlineStr">
        <is>
          <t>Você: visão, vendas grandes, relação com Ministério e SEDES, decisão clínica do produto.</t>
        </is>
      </c>
      <c r="C5" s="48" t="n">
        <v>12000</v>
      </c>
      <c r="D5" s="24" t="n">
        <v>0</v>
      </c>
      <c r="E5" s="24" t="n">
        <v>1</v>
      </c>
      <c r="F5" s="24" t="n">
        <v>1</v>
      </c>
      <c r="G5" s="24" t="n">
        <v>1</v>
      </c>
      <c r="H5" s="24" t="n">
        <v>1</v>
      </c>
      <c r="I5" s="35">
        <f>$C5*E5*(1+IF($D5=1,0,Supostos!$B$12))</f>
        <v/>
      </c>
      <c r="J5" s="35">
        <f>$C5*F5*(1+IF($D5=1,0,Supostos!$B$12))</f>
        <v/>
      </c>
      <c r="K5" s="35">
        <f>$C5*G5*(1+IF($D5=1,0,Supostos!$B$12))</f>
        <v/>
      </c>
      <c r="L5" s="35">
        <f>$C5*H5*(1+IF($D5=1,0,Supostos!$B$12))</f>
        <v/>
      </c>
    </row>
    <row r="6">
      <c r="A6" s="4" t="inlineStr">
        <is>
          <t>Líder técnico (CTO)</t>
        </is>
      </c>
      <c r="B6" s="19" t="inlineStr">
        <is>
          <t>Arquitetura, segurança, revisão de código, banco de dados e desempenho.</t>
        </is>
      </c>
      <c r="C6" s="48" t="n">
        <v>15000</v>
      </c>
      <c r="D6" s="24" t="n">
        <v>0</v>
      </c>
      <c r="E6" s="24" t="n">
        <v>0</v>
      </c>
      <c r="F6" s="24" t="n">
        <v>1</v>
      </c>
      <c r="G6" s="24" t="n">
        <v>1</v>
      </c>
      <c r="H6" s="24" t="n">
        <v>1</v>
      </c>
      <c r="I6" s="35">
        <f>$C6*E6*(1+IF($D6=1,0,Supostos!$B$12))</f>
        <v/>
      </c>
      <c r="J6" s="35">
        <f>$C6*F6*(1+IF($D6=1,0,Supostos!$B$12))</f>
        <v/>
      </c>
      <c r="K6" s="35">
        <f>$C6*G6*(1+IF($D6=1,0,Supostos!$B$12))</f>
        <v/>
      </c>
      <c r="L6" s="35">
        <f>$C6*H6*(1+IF($D6=1,0,Supostos!$B$12))</f>
        <v/>
      </c>
    </row>
    <row r="7">
      <c r="A7" s="4" t="inlineStr">
        <is>
          <t>Desenvolvedor full-stack pleno</t>
        </is>
      </c>
      <c r="B7" s="19" t="inlineStr">
        <is>
          <t>Programa módulos novos e correções.</t>
        </is>
      </c>
      <c r="C7" s="48" t="n">
        <v>9000</v>
      </c>
      <c r="D7" s="24" t="n">
        <v>0</v>
      </c>
      <c r="E7" s="24" t="n">
        <v>0</v>
      </c>
      <c r="F7" s="24" t="n">
        <v>1</v>
      </c>
      <c r="G7" s="24" t="n">
        <v>2</v>
      </c>
      <c r="H7" s="24" t="n">
        <v>4</v>
      </c>
      <c r="I7" s="35">
        <f>$C7*E7*(1+IF($D7=1,0,Supostos!$B$12))</f>
        <v/>
      </c>
      <c r="J7" s="35">
        <f>$C7*F7*(1+IF($D7=1,0,Supostos!$B$12))</f>
        <v/>
      </c>
      <c r="K7" s="35">
        <f>$C7*G7*(1+IF($D7=1,0,Supostos!$B$12))</f>
        <v/>
      </c>
      <c r="L7" s="35">
        <f>$C7*H7*(1+IF($D7=1,0,Supostos!$B$12))</f>
        <v/>
      </c>
    </row>
    <row r="8">
      <c r="A8" s="4" t="inlineStr">
        <is>
          <t>Desenvolvedor júnior</t>
        </is>
      </c>
      <c r="B8" s="19" t="inlineStr">
        <is>
          <t>Ajustes, relatórios, telas simples, testes.</t>
        </is>
      </c>
      <c r="C8" s="48" t="n">
        <v>5000</v>
      </c>
      <c r="D8" s="24" t="n">
        <v>0</v>
      </c>
      <c r="E8" s="24" t="n">
        <v>0</v>
      </c>
      <c r="F8" s="24" t="n">
        <v>0</v>
      </c>
      <c r="G8" s="24" t="n">
        <v>1</v>
      </c>
      <c r="H8" s="24" t="n">
        <v>2</v>
      </c>
      <c r="I8" s="35">
        <f>$C8*E8*(1+IF($D8=1,0,Supostos!$B$12))</f>
        <v/>
      </c>
      <c r="J8" s="35">
        <f>$C8*F8*(1+IF($D8=1,0,Supostos!$B$12))</f>
        <v/>
      </c>
      <c r="K8" s="35">
        <f>$C8*G8*(1+IF($D8=1,0,Supostos!$B$12))</f>
        <v/>
      </c>
      <c r="L8" s="35">
        <f>$C8*H8*(1+IF($D8=1,0,Supostos!$B$12))</f>
        <v/>
      </c>
    </row>
    <row r="9">
      <c r="A9" s="4" t="inlineStr">
        <is>
          <t>DevOps / segurança e proteção de dados</t>
        </is>
      </c>
      <c r="B9" s="19" t="inlineStr">
        <is>
          <t>Servidores, backups, monitoramento, cópias de segurança, auditoria de acesso.</t>
        </is>
      </c>
      <c r="C9" s="48" t="n">
        <v>12000</v>
      </c>
      <c r="D9" s="24" t="n">
        <v>0</v>
      </c>
      <c r="E9" s="24" t="n">
        <v>0</v>
      </c>
      <c r="F9" s="24" t="n">
        <v>0</v>
      </c>
      <c r="G9" s="24" t="n">
        <v>1</v>
      </c>
      <c r="H9" s="24" t="n">
        <v>2</v>
      </c>
      <c r="I9" s="35">
        <f>$C9*E9*(1+IF($D9=1,0,Supostos!$B$12))</f>
        <v/>
      </c>
      <c r="J9" s="35">
        <f>$C9*F9*(1+IF($D9=1,0,Supostos!$B$12))</f>
        <v/>
      </c>
      <c r="K9" s="35">
        <f>$C9*G9*(1+IF($D9=1,0,Supostos!$B$12))</f>
        <v/>
      </c>
      <c r="L9" s="35">
        <f>$C9*H9*(1+IF($D9=1,0,Supostos!$B$12))</f>
        <v/>
      </c>
    </row>
    <row r="10">
      <c r="A10" s="4" t="inlineStr">
        <is>
          <t>Analista de testes (QA)</t>
        </is>
      </c>
      <c r="B10" s="19" t="inlineStr">
        <is>
          <t>Testa cada versão antes de chegar aos centros.</t>
        </is>
      </c>
      <c r="C10" s="48" t="n">
        <v>6000</v>
      </c>
      <c r="D10" s="24" t="n">
        <v>0</v>
      </c>
      <c r="E10" s="24" t="n">
        <v>0</v>
      </c>
      <c r="F10" s="24" t="n">
        <v>0</v>
      </c>
      <c r="G10" s="24" t="n">
        <v>1</v>
      </c>
      <c r="H10" s="24" t="n">
        <v>2</v>
      </c>
      <c r="I10" s="35">
        <f>$C10*E10*(1+IF($D10=1,0,Supostos!$B$12))</f>
        <v/>
      </c>
      <c r="J10" s="35">
        <f>$C10*F10*(1+IF($D10=1,0,Supostos!$B$12))</f>
        <v/>
      </c>
      <c r="K10" s="35">
        <f>$C10*G10*(1+IF($D10=1,0,Supostos!$B$12))</f>
        <v/>
      </c>
      <c r="L10" s="35">
        <f>$C10*H10*(1+IF($D10=1,0,Supostos!$B$12))</f>
        <v/>
      </c>
    </row>
    <row r="11">
      <c r="A11" s="4" t="inlineStr">
        <is>
          <t>Suporte nível 1 (mesa de ajuda)</t>
        </is>
      </c>
      <c r="B11" s="19" t="inlineStr">
        <is>
          <t>Atende telefone e WhatsApp dos centros; ~1 pessoa a cada 300 estabelecimentos.</t>
        </is>
      </c>
      <c r="C11" s="48" t="n">
        <v>4000</v>
      </c>
      <c r="D11" s="24" t="n">
        <v>0</v>
      </c>
      <c r="E11" s="24" t="n">
        <v>0</v>
      </c>
      <c r="F11" s="24" t="n">
        <v>1</v>
      </c>
      <c r="G11" s="24" t="n">
        <v>3</v>
      </c>
      <c r="H11" s="24" t="n">
        <v>12</v>
      </c>
      <c r="I11" s="35">
        <f>$C11*E11*(1+IF($D11=1,0,Supostos!$B$12))</f>
        <v/>
      </c>
      <c r="J11" s="35">
        <f>$C11*F11*(1+IF($D11=1,0,Supostos!$B$12))</f>
        <v/>
      </c>
      <c r="K11" s="35">
        <f>$C11*G11*(1+IF($D11=1,0,Supostos!$B$12))</f>
        <v/>
      </c>
      <c r="L11" s="35">
        <f>$C11*H11*(1+IF($D11=1,0,Supostos!$B$12))</f>
        <v/>
      </c>
    </row>
    <row r="12">
      <c r="A12" s="4" t="inlineStr">
        <is>
          <t>Suporte nível 2 (técnico)</t>
        </is>
      </c>
      <c r="B12" s="19" t="inlineStr">
        <is>
          <t>Resolve o que o nível 1 não resolve; acesso ao banco.</t>
        </is>
      </c>
      <c r="C12" s="48" t="n">
        <v>6500</v>
      </c>
      <c r="D12" s="24" t="n">
        <v>0</v>
      </c>
      <c r="E12" s="24" t="n">
        <v>0</v>
      </c>
      <c r="F12" s="24" t="n">
        <v>0</v>
      </c>
      <c r="G12" s="24" t="n">
        <v>1</v>
      </c>
      <c r="H12" s="24" t="n">
        <v>4</v>
      </c>
      <c r="I12" s="35">
        <f>$C12*E12*(1+IF($D12=1,0,Supostos!$B$12))</f>
        <v/>
      </c>
      <c r="J12" s="35">
        <f>$C12*F12*(1+IF($D12=1,0,Supostos!$B$12))</f>
        <v/>
      </c>
      <c r="K12" s="35">
        <f>$C12*G12*(1+IF($D12=1,0,Supostos!$B$12))</f>
        <v/>
      </c>
      <c r="L12" s="35">
        <f>$C12*H12*(1+IF($D12=1,0,Supostos!$B$12))</f>
        <v/>
      </c>
    </row>
    <row r="13">
      <c r="A13" s="4" t="inlineStr">
        <is>
          <t>Implantador / capacitador (profissional de saúde)</t>
        </is>
      </c>
      <c r="B13" s="19" t="inlineStr">
        <is>
          <t>Vai aos centros, cadastra usuários, capacita o pessoal.</t>
        </is>
      </c>
      <c r="C13" s="48" t="n">
        <v>6000</v>
      </c>
      <c r="D13" s="24" t="n">
        <v>0</v>
      </c>
      <c r="E13" s="24" t="n">
        <v>1</v>
      </c>
      <c r="F13" s="24" t="n">
        <v>2</v>
      </c>
      <c r="G13" s="24" t="n">
        <v>4</v>
      </c>
      <c r="H13" s="24" t="n">
        <v>9</v>
      </c>
      <c r="I13" s="35">
        <f>$C13*E13*(1+IF($D13=1,0,Supostos!$B$12))</f>
        <v/>
      </c>
      <c r="J13" s="35">
        <f>$C13*F13*(1+IF($D13=1,0,Supostos!$B$12))</f>
        <v/>
      </c>
      <c r="K13" s="35">
        <f>$C13*G13*(1+IF($D13=1,0,Supostos!$B$12))</f>
        <v/>
      </c>
      <c r="L13" s="35">
        <f>$C13*H13*(1+IF($D13=1,0,Supostos!$B$12))</f>
        <v/>
      </c>
    </row>
    <row r="14">
      <c r="A14" s="4" t="inlineStr">
        <is>
          <t>Coordenador regional</t>
        </is>
      </c>
      <c r="B14" s="19" t="inlineStr">
        <is>
          <t>Responde por uma região (vários departamentos): implantação, SEDES e redes.</t>
        </is>
      </c>
      <c r="C14" s="48" t="n">
        <v>9000</v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3</v>
      </c>
      <c r="I14" s="35">
        <f>$C14*E14*(1+IF($D14=1,0,Supostos!$B$12))</f>
        <v/>
      </c>
      <c r="J14" s="35">
        <f>$C14*F14*(1+IF($D14=1,0,Supostos!$B$12))</f>
        <v/>
      </c>
      <c r="K14" s="35">
        <f>$C14*G14*(1+IF($D14=1,0,Supostos!$B$12))</f>
        <v/>
      </c>
      <c r="L14" s="35">
        <f>$C14*H14*(1+IF($D14=1,0,Supostos!$B$12))</f>
        <v/>
      </c>
    </row>
    <row r="15">
      <c r="A15" s="4" t="inlineStr">
        <is>
          <t>Médico(a) referente clínico</t>
        </is>
      </c>
      <c r="B15" s="19" t="inlineStr">
        <is>
          <t>Valida fluxos clínicos, formulários oficiais e normas do Ministério.</t>
        </is>
      </c>
      <c r="C15" s="48" t="n">
        <v>10000</v>
      </c>
      <c r="D15" s="24" t="n">
        <v>0</v>
      </c>
      <c r="E15" s="24" t="n">
        <v>0</v>
      </c>
      <c r="F15" s="24" t="n">
        <v>0</v>
      </c>
      <c r="G15" s="24" t="n">
        <v>1</v>
      </c>
      <c r="H15" s="24" t="n">
        <v>1</v>
      </c>
      <c r="I15" s="35">
        <f>$C15*E15*(1+IF($D15=1,0,Supostos!$B$12))</f>
        <v/>
      </c>
      <c r="J15" s="35">
        <f>$C15*F15*(1+IF($D15=1,0,Supostos!$B$12))</f>
        <v/>
      </c>
      <c r="K15" s="35">
        <f>$C15*G15*(1+IF($D15=1,0,Supostos!$B$12))</f>
        <v/>
      </c>
      <c r="L15" s="35">
        <f>$C15*H15*(1+IF($D15=1,0,Supostos!$B$12))</f>
        <v/>
      </c>
    </row>
    <row r="16">
      <c r="A16" s="4" t="inlineStr">
        <is>
          <t>Gerente comercial e relações com governo</t>
        </is>
      </c>
      <c r="B16" s="19" t="inlineStr">
        <is>
          <t>Licitações, SICOES, propostas, contratos com municípios e governações.</t>
        </is>
      </c>
      <c r="C16" s="48" t="n">
        <v>10000</v>
      </c>
      <c r="D16" s="24" t="n">
        <v>0</v>
      </c>
      <c r="E16" s="24" t="n">
        <v>0</v>
      </c>
      <c r="F16" s="24" t="n">
        <v>0</v>
      </c>
      <c r="G16" s="24" t="n">
        <v>1</v>
      </c>
      <c r="H16" s="24" t="n">
        <v>1</v>
      </c>
      <c r="I16" s="35">
        <f>$C16*E16*(1+IF($D16=1,0,Supostos!$B$12))</f>
        <v/>
      </c>
      <c r="J16" s="35">
        <f>$C16*F16*(1+IF($D16=1,0,Supostos!$B$12))</f>
        <v/>
      </c>
      <c r="K16" s="35">
        <f>$C16*G16*(1+IF($D16=1,0,Supostos!$B$12))</f>
        <v/>
      </c>
      <c r="L16" s="35">
        <f>$C16*H16*(1+IF($D16=1,0,Supostos!$B$12))</f>
        <v/>
      </c>
    </row>
    <row r="17">
      <c r="A17" s="4" t="inlineStr">
        <is>
          <t>Gerente de operações e projetos</t>
        </is>
      </c>
      <c r="B17" s="19" t="inlineStr">
        <is>
          <t>Cronogramas de implantação, indicadores de atendimento, equipe de campo.</t>
        </is>
      </c>
      <c r="C17" s="48" t="n">
        <v>11000</v>
      </c>
      <c r="D17" s="24" t="n">
        <v>0</v>
      </c>
      <c r="E17" s="24" t="n">
        <v>0</v>
      </c>
      <c r="F17" s="24" t="n">
        <v>0</v>
      </c>
      <c r="G17" s="24" t="n">
        <v>1</v>
      </c>
      <c r="H17" s="24" t="n">
        <v>1</v>
      </c>
      <c r="I17" s="35">
        <f>$C17*E17*(1+IF($D17=1,0,Supostos!$B$12))</f>
        <v/>
      </c>
      <c r="J17" s="35">
        <f>$C17*F17*(1+IF($D17=1,0,Supostos!$B$12))</f>
        <v/>
      </c>
      <c r="K17" s="35">
        <f>$C17*G17*(1+IF($D17=1,0,Supostos!$B$12))</f>
        <v/>
      </c>
      <c r="L17" s="35">
        <f>$C17*H17*(1+IF($D17=1,0,Supostos!$B$12))</f>
        <v/>
      </c>
    </row>
    <row r="18">
      <c r="A18" s="4" t="inlineStr">
        <is>
          <t>Designer de produto (UX)</t>
        </is>
      </c>
      <c r="B18" s="19" t="inlineStr">
        <is>
          <t>Telas, capacitação visual, materiais.</t>
        </is>
      </c>
      <c r="C18" s="48" t="n">
        <v>6000</v>
      </c>
      <c r="D18" s="24" t="n">
        <v>0</v>
      </c>
      <c r="E18" s="24" t="n">
        <v>0</v>
      </c>
      <c r="F18" s="24" t="n">
        <v>0</v>
      </c>
      <c r="G18" s="24" t="n">
        <v>0</v>
      </c>
      <c r="H18" s="24" t="n">
        <v>1</v>
      </c>
      <c r="I18" s="35">
        <f>$C18*E18*(1+IF($D18=1,0,Supostos!$B$12))</f>
        <v/>
      </c>
      <c r="J18" s="35">
        <f>$C18*F18*(1+IF($D18=1,0,Supostos!$B$12))</f>
        <v/>
      </c>
      <c r="K18" s="35">
        <f>$C18*G18*(1+IF($D18=1,0,Supostos!$B$12))</f>
        <v/>
      </c>
      <c r="L18" s="35">
        <f>$C18*H18*(1+IF($D18=1,0,Supostos!$B$12))</f>
        <v/>
      </c>
    </row>
    <row r="19">
      <c r="A19" s="4" t="inlineStr">
        <is>
          <t>Administrativo e financeiro</t>
        </is>
      </c>
      <c r="B19" s="19" t="inlineStr">
        <is>
          <t>Faturas, cobranças, pagamentos, folha.</t>
        </is>
      </c>
      <c r="C19" s="48" t="n">
        <v>5000</v>
      </c>
      <c r="D19" s="24" t="n">
        <v>0</v>
      </c>
      <c r="E19" s="24" t="n">
        <v>0</v>
      </c>
      <c r="F19" s="24" t="n">
        <v>1</v>
      </c>
      <c r="G19" s="24" t="n">
        <v>1</v>
      </c>
      <c r="H19" s="24" t="n">
        <v>2</v>
      </c>
      <c r="I19" s="35">
        <f>$C19*E19*(1+IF($D19=1,0,Supostos!$B$12))</f>
        <v/>
      </c>
      <c r="J19" s="35">
        <f>$C19*F19*(1+IF($D19=1,0,Supostos!$B$12))</f>
        <v/>
      </c>
      <c r="K19" s="35">
        <f>$C19*G19*(1+IF($D19=1,0,Supostos!$B$12))</f>
        <v/>
      </c>
      <c r="L19" s="35">
        <f>$C19*H19*(1+IF($D19=1,0,Supostos!$B$12))</f>
        <v/>
      </c>
    </row>
    <row r="20">
      <c r="A20" s="4" t="inlineStr">
        <is>
          <t>Contador (externo)</t>
        </is>
      </c>
      <c r="B20" s="19" t="inlineStr">
        <is>
          <t>Impostos, balanços, folha.</t>
        </is>
      </c>
      <c r="C20" s="48" t="n">
        <v>2500</v>
      </c>
      <c r="D20" s="24" t="n">
        <v>1</v>
      </c>
      <c r="E20" s="24" t="n">
        <v>1</v>
      </c>
      <c r="F20" s="24" t="n">
        <v>1</v>
      </c>
      <c r="G20" s="24" t="n">
        <v>1</v>
      </c>
      <c r="H20" s="24" t="n">
        <v>1</v>
      </c>
      <c r="I20" s="35">
        <f>$C20*E20*(1+IF($D20=1,0,Supostos!$B$12))</f>
        <v/>
      </c>
      <c r="J20" s="35">
        <f>$C20*F20*(1+IF($D20=1,0,Supostos!$B$12))</f>
        <v/>
      </c>
      <c r="K20" s="35">
        <f>$C20*G20*(1+IF($D20=1,0,Supostos!$B$12))</f>
        <v/>
      </c>
      <c r="L20" s="35">
        <f>$C20*H20*(1+IF($D20=1,0,Supostos!$B$12))</f>
        <v/>
      </c>
    </row>
    <row r="21">
      <c r="A21" s="4" t="inlineStr">
        <is>
          <t>Advogado (externo)</t>
        </is>
      </c>
      <c r="B21" s="19" t="inlineStr">
        <is>
          <t>Contratos, SENAPI, proteção de dados, licitações.</t>
        </is>
      </c>
      <c r="C21" s="48" t="n">
        <v>3000</v>
      </c>
      <c r="D21" s="24" t="n">
        <v>1</v>
      </c>
      <c r="E21" s="24" t="n">
        <v>0</v>
      </c>
      <c r="F21" s="24" t="n">
        <v>1</v>
      </c>
      <c r="G21" s="24" t="n">
        <v>1</v>
      </c>
      <c r="H21" s="24" t="n">
        <v>1</v>
      </c>
      <c r="I21" s="35">
        <f>$C21*E21*(1+IF($D21=1,0,Supostos!$B$12))</f>
        <v/>
      </c>
      <c r="J21" s="35">
        <f>$C21*F21*(1+IF($D21=1,0,Supostos!$B$12))</f>
        <v/>
      </c>
      <c r="K21" s="35">
        <f>$C21*G21*(1+IF($D21=1,0,Supostos!$B$12))</f>
        <v/>
      </c>
      <c r="L21" s="35">
        <f>$C21*H21*(1+IF($D21=1,0,Supostos!$B$12))</f>
        <v/>
      </c>
    </row>
    <row r="22">
      <c r="A22" s="16" t="inlineStr">
        <is>
          <t>TOTAL</t>
        </is>
      </c>
      <c r="E22" s="46">
        <f>SUM(E5:E21)</f>
        <v/>
      </c>
      <c r="F22" s="46">
        <f>SUM(F5:F21)</f>
        <v/>
      </c>
      <c r="G22" s="46">
        <f>SUM(G5:G21)</f>
        <v/>
      </c>
      <c r="H22" s="46">
        <f>SUM(H5:H21)</f>
        <v/>
      </c>
      <c r="I22" s="38">
        <f>SUM(I5:I21)</f>
        <v/>
      </c>
      <c r="J22" s="38">
        <f>SUM(J5:J21)</f>
        <v/>
      </c>
      <c r="K22" s="38">
        <f>SUM(K5:K21)</f>
        <v/>
      </c>
      <c r="L22" s="38">
        <f>SUM(L5:L21)</f>
        <v/>
      </c>
    </row>
    <row r="23">
      <c r="A23" s="4" t="inlineStr">
        <is>
          <t>Custo mensal da equipe (US$)</t>
        </is>
      </c>
      <c r="I23" s="34">
        <f>I22/Supostos!$B$9</f>
        <v/>
      </c>
      <c r="J23" s="34">
        <f>J22/Supostos!$B$9</f>
        <v/>
      </c>
      <c r="K23" s="34">
        <f>K22/Supostos!$B$9</f>
        <v/>
      </c>
      <c r="L23" s="34">
        <f>L22/Supostos!$B$9</f>
        <v/>
      </c>
    </row>
    <row r="25">
      <c r="A25" s="19" t="inlineStr">
        <is>
          <t>Salários: estimativas do mercado boliviano de TI e saúde (Computrabajo, Glassdoor, Paylab); ajustar às ofertas reais. Encargos na aba Supostos.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34" customWidth="1" min="3" max="3"/>
    <col width="11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Ferramentas e custos para manter o SIVEC funcionando</t>
        </is>
      </c>
    </row>
    <row r="2">
      <c r="A2" s="2" t="inlineStr">
        <is>
          <t>Custo mensal em US$ por fase. Linhas "por pessoa" usam o total de pessoas da aba Equipe.</t>
        </is>
      </c>
    </row>
    <row r="4" ht="45" customHeight="1">
      <c r="A4" s="3" t="inlineStr">
        <is>
          <t>Ferramenta</t>
        </is>
      </c>
      <c r="B4" s="3" t="inlineStr">
        <is>
          <t>Para que serve</t>
        </is>
      </c>
      <c r="C4" s="3" t="inlineStr">
        <is>
          <t>Fornecedor sugerido</t>
        </is>
      </c>
      <c r="D4" s="3" t="inlineStr">
        <is>
          <t>Tipo</t>
        </is>
      </c>
      <c r="E4" s="3" t="inlineStr">
        <is>
          <t>US$/mês · Fase 1 · Red Centro</t>
        </is>
      </c>
      <c r="F4" s="3" t="inlineStr">
        <is>
          <t>US$/mês · Fase 2 · Município Santa Cruz</t>
        </is>
      </c>
      <c r="G4" s="3" t="inlineStr">
        <is>
          <t>US$/mês · Fase 3 · Departamento Santa Cruz</t>
        </is>
      </c>
      <c r="H4" s="3" t="inlineStr">
        <is>
          <t>US$/mês · Fase 4 · Bolívia inteira</t>
        </is>
      </c>
    </row>
    <row r="5">
      <c r="A5" s="4" t="inlineStr">
        <is>
          <t>Banco de dados, login e backups</t>
        </is>
      </c>
      <c r="B5" s="19" t="inlineStr">
        <is>
          <t>Onde ficam todos os dados; login de cada usuário; cópias diárias.</t>
        </is>
      </c>
      <c r="C5" s="4" t="inlineStr">
        <is>
          <t>Supabase (Pro → Team) + computação dedicada</t>
        </is>
      </c>
      <c r="D5" s="4" t="inlineStr">
        <is>
          <t>fixo</t>
        </is>
      </c>
      <c r="E5" s="41" t="n">
        <v>40</v>
      </c>
      <c r="F5" s="41" t="n">
        <v>135</v>
      </c>
      <c r="G5" s="41" t="n">
        <v>809</v>
      </c>
      <c r="H5" s="41" t="n">
        <v>2519</v>
      </c>
    </row>
    <row r="6">
      <c r="A6" s="4" t="inlineStr">
        <is>
          <t>Hospedagem do aplicativo</t>
        </is>
      </c>
      <c r="B6" s="19" t="inlineStr">
        <is>
          <t>Publica o sistema na internet com endereço próprio (sem arquivo HTML).</t>
        </is>
      </c>
      <c r="C6" s="4" t="inlineStr">
        <is>
          <t>Vercel / Cloudflare Pages</t>
        </is>
      </c>
      <c r="D6" s="4" t="inlineStr">
        <is>
          <t>fixo</t>
        </is>
      </c>
      <c r="E6" s="41" t="n">
        <v>0</v>
      </c>
      <c r="F6" s="41" t="n">
        <v>20</v>
      </c>
      <c r="G6" s="41" t="n">
        <v>20</v>
      </c>
      <c r="H6" s="41" t="n">
        <v>40</v>
      </c>
    </row>
    <row r="7">
      <c r="A7" s="4" t="inlineStr">
        <is>
          <t>Domínio e certificado</t>
        </is>
      </c>
      <c r="B7" s="19" t="inlineStr">
        <is>
          <t>sivec.bo / sivec.com.bo com HTTPS.</t>
        </is>
      </c>
      <c r="C7" s="4" t="inlineStr">
        <is>
          <t>NIC Bolivia + Cloudflare</t>
        </is>
      </c>
      <c r="D7" s="4" t="inlineStr">
        <is>
          <t>fixo</t>
        </is>
      </c>
      <c r="E7" s="41" t="n">
        <v>3</v>
      </c>
      <c r="F7" s="41" t="n">
        <v>3</v>
      </c>
      <c r="G7" s="41" t="n">
        <v>3</v>
      </c>
      <c r="H7" s="41" t="n">
        <v>3</v>
      </c>
    </row>
    <row r="8">
      <c r="A8" s="4" t="inlineStr">
        <is>
          <t>E-mail transacional</t>
        </is>
      </c>
      <c r="B8" s="19" t="inlineStr">
        <is>
          <t>Senhas, avisos e relatórios por e-mail.</t>
        </is>
      </c>
      <c r="C8" s="4" t="inlineStr">
        <is>
          <t>Resend / SendGrid</t>
        </is>
      </c>
      <c r="D8" s="4" t="inlineStr">
        <is>
          <t>fixo</t>
        </is>
      </c>
      <c r="E8" s="41" t="n">
        <v>0</v>
      </c>
      <c r="F8" s="41" t="n">
        <v>20</v>
      </c>
      <c r="G8" s="41" t="n">
        <v>50</v>
      </c>
      <c r="H8" s="41" t="n">
        <v>200</v>
      </c>
    </row>
    <row r="9">
      <c r="A9" s="4" t="inlineStr">
        <is>
          <t>WhatsApp Business API</t>
        </is>
      </c>
      <c r="B9" s="19" t="inlineStr">
        <is>
          <t>Avisos às pacientes: resultado pronto, controle, cita.</t>
        </is>
      </c>
      <c r="C9" s="4" t="inlineStr">
        <is>
          <t>Meta via 360dialog / Twilio</t>
        </is>
      </c>
      <c r="D9" s="4" t="inlineStr">
        <is>
          <t>fixo</t>
        </is>
      </c>
      <c r="E9" s="41" t="n">
        <v>30</v>
      </c>
      <c r="F9" s="41" t="n">
        <v>150</v>
      </c>
      <c r="G9" s="41" t="n">
        <v>500</v>
      </c>
      <c r="H9" s="41" t="n">
        <v>3000</v>
      </c>
    </row>
    <row r="10">
      <c r="A10" s="4" t="inlineStr">
        <is>
          <t>Monitoramento de erros</t>
        </is>
      </c>
      <c r="B10" s="19" t="inlineStr">
        <is>
          <t>Avisa a equipe quando algo falha num centro.</t>
        </is>
      </c>
      <c r="C10" s="4" t="inlineStr">
        <is>
          <t>Sentry</t>
        </is>
      </c>
      <c r="D10" s="4" t="inlineStr">
        <is>
          <t>fixo</t>
        </is>
      </c>
      <c r="E10" s="41" t="n">
        <v>0</v>
      </c>
      <c r="F10" s="41" t="n">
        <v>26</v>
      </c>
      <c r="G10" s="41" t="n">
        <v>80</v>
      </c>
      <c r="H10" s="41" t="n">
        <v>300</v>
      </c>
    </row>
    <row r="11">
      <c r="A11" s="4" t="inlineStr">
        <is>
          <t>Monitor de disponibilidade</t>
        </is>
      </c>
      <c r="B11" s="19" t="inlineStr">
        <is>
          <t>Alerta se o sistema cair, 24 h.</t>
        </is>
      </c>
      <c r="C11" s="4" t="inlineStr">
        <is>
          <t>Better Stack / UptimeRobot</t>
        </is>
      </c>
      <c r="D11" s="4" t="inlineStr">
        <is>
          <t>fixo</t>
        </is>
      </c>
      <c r="E11" s="41" t="n">
        <v>0</v>
      </c>
      <c r="F11" s="41" t="n">
        <v>25</v>
      </c>
      <c r="G11" s="41" t="n">
        <v>50</v>
      </c>
      <c r="H11" s="41" t="n">
        <v>100</v>
      </c>
    </row>
    <row r="12">
      <c r="A12" s="4" t="inlineStr">
        <is>
          <t>Backup externo</t>
        </is>
      </c>
      <c r="B12" s="19" t="inlineStr">
        <is>
          <t>Segunda cópia dos dados fora do Supabase.</t>
        </is>
      </c>
      <c r="C12" s="4" t="inlineStr">
        <is>
          <t>Backblaze B2 / AWS S3</t>
        </is>
      </c>
      <c r="D12" s="4" t="inlineStr">
        <is>
          <t>fixo</t>
        </is>
      </c>
      <c r="E12" s="41" t="n">
        <v>5</v>
      </c>
      <c r="F12" s="41" t="n">
        <v>20</v>
      </c>
      <c r="G12" s="41" t="n">
        <v>50</v>
      </c>
      <c r="H12" s="41" t="n">
        <v>200</v>
      </c>
    </row>
    <row r="13">
      <c r="A13" s="4" t="inlineStr">
        <is>
          <t>Teste de segurança (pentest anual ÷ 12)</t>
        </is>
      </c>
      <c r="B13" s="19" t="inlineStr">
        <is>
          <t>Auditoria externa de segurança uma vez por ano.</t>
        </is>
      </c>
      <c r="C13" s="4" t="inlineStr">
        <is>
          <t>Empresa de segurança</t>
        </is>
      </c>
      <c r="D13" s="4" t="inlineStr">
        <is>
          <t>fixo</t>
        </is>
      </c>
      <c r="E13" s="41" t="n">
        <v>0</v>
      </c>
      <c r="F13" s="41" t="n">
        <v>300</v>
      </c>
      <c r="G13" s="41" t="n">
        <v>800</v>
      </c>
      <c r="H13" s="41" t="n">
        <v>2000</v>
      </c>
    </row>
    <row r="14">
      <c r="A14" s="4" t="inlineStr">
        <is>
          <t>Seguro de responsabilidade</t>
        </is>
      </c>
      <c r="B14" s="19" t="inlineStr">
        <is>
          <t>Cobre falhas e vazamentos de dados.</t>
        </is>
      </c>
      <c r="C14" s="4" t="inlineStr">
        <is>
          <t>Seguradora local</t>
        </is>
      </c>
      <c r="D14" s="4" t="inlineStr">
        <is>
          <t>fixo</t>
        </is>
      </c>
      <c r="E14" s="41" t="n">
        <v>0</v>
      </c>
      <c r="F14" s="41" t="n">
        <v>100</v>
      </c>
      <c r="G14" s="41" t="n">
        <v>200</v>
      </c>
      <c r="H14" s="41" t="n">
        <v>500</v>
      </c>
    </row>
    <row r="15">
      <c r="A15" s="4" t="inlineStr">
        <is>
          <t>Viagens de implantação</t>
        </is>
      </c>
      <c r="B15" s="19" t="inlineStr">
        <is>
          <t>Passagens e diárias para capacitar nos municípios.</t>
        </is>
      </c>
      <c r="C15" s="4" t="inlineStr">
        <is>
          <t>—</t>
        </is>
      </c>
      <c r="D15" s="4" t="inlineStr">
        <is>
          <t>fixo</t>
        </is>
      </c>
      <c r="E15" s="41" t="n">
        <v>0</v>
      </c>
      <c r="F15" s="41" t="n">
        <v>200</v>
      </c>
      <c r="G15" s="41" t="n">
        <v>1500</v>
      </c>
      <c r="H15" s="41" t="n">
        <v>5000</v>
      </c>
    </row>
    <row r="16">
      <c r="A16" s="4" t="inlineStr">
        <is>
          <t>Escritório e internet</t>
        </is>
      </c>
      <c r="B16" s="19" t="inlineStr">
        <is>
          <t>Espaço da equipe e conexão.</t>
        </is>
      </c>
      <c r="C16" s="4" t="inlineStr">
        <is>
          <t>—</t>
        </is>
      </c>
      <c r="D16" s="4" t="inlineStr">
        <is>
          <t>fixo</t>
        </is>
      </c>
      <c r="E16" s="41" t="n">
        <v>50</v>
      </c>
      <c r="F16" s="41" t="n">
        <v>300</v>
      </c>
      <c r="G16" s="41" t="n">
        <v>800</v>
      </c>
      <c r="H16" s="41" t="n">
        <v>3000</v>
      </c>
    </row>
    <row r="17">
      <c r="A17" s="4" t="inlineStr">
        <is>
          <t>E-mail e documentos da equipe</t>
        </is>
      </c>
      <c r="B17" s="19" t="inlineStr">
        <is>
          <t>Correio, Drive, calendário.</t>
        </is>
      </c>
      <c r="C17" s="4" t="inlineStr">
        <is>
          <t>Google Workspace</t>
        </is>
      </c>
      <c r="D17" s="4" t="inlineStr">
        <is>
          <t>por pessoa</t>
        </is>
      </c>
      <c r="E17" s="36">
        <f>7*Equipe!E22</f>
        <v/>
      </c>
      <c r="F17" s="36">
        <f>7*Equipe!F22</f>
        <v/>
      </c>
      <c r="G17" s="36">
        <f>7*Equipe!G22</f>
        <v/>
      </c>
      <c r="H17" s="36">
        <f>7*Equipe!H22</f>
        <v/>
      </c>
    </row>
    <row r="18">
      <c r="A18" s="4" t="inlineStr">
        <is>
          <t>Central de atendimento</t>
        </is>
      </c>
      <c r="B18" s="19" t="inlineStr">
        <is>
          <t>Tickets e chat de suporte aos centros.</t>
        </is>
      </c>
      <c r="C18" s="4" t="inlineStr">
        <is>
          <t>Freshdesk / Zendesk</t>
        </is>
      </c>
      <c r="D18" s="4" t="inlineStr">
        <is>
          <t>por pessoa</t>
        </is>
      </c>
      <c r="E18" s="36">
        <f>15*Equipe!E22</f>
        <v/>
      </c>
      <c r="F18" s="36">
        <f>15*Equipe!F22</f>
        <v/>
      </c>
      <c r="G18" s="36">
        <f>15*Equipe!G22</f>
        <v/>
      </c>
      <c r="H18" s="36">
        <f>15*Equipe!H22</f>
        <v/>
      </c>
    </row>
    <row r="19">
      <c r="A19" s="4" t="inlineStr">
        <is>
          <t>Código e versões</t>
        </is>
      </c>
      <c r="B19" s="19" t="inlineStr">
        <is>
          <t>Repositório, revisões, automação.</t>
        </is>
      </c>
      <c r="C19" s="4" t="inlineStr">
        <is>
          <t>GitHub Team</t>
        </is>
      </c>
      <c r="D19" s="4" t="inlineStr">
        <is>
          <t>por pessoa</t>
        </is>
      </c>
      <c r="E19" s="36">
        <f>4*Equipe!E22</f>
        <v/>
      </c>
      <c r="F19" s="36">
        <f>4*Equipe!F22</f>
        <v/>
      </c>
      <c r="G19" s="36">
        <f>4*Equipe!G22</f>
        <v/>
      </c>
      <c r="H19" s="36">
        <f>4*Equipe!H22</f>
        <v/>
      </c>
    </row>
    <row r="20">
      <c r="A20" s="4" t="inlineStr">
        <is>
          <t>Gerenciador de senhas</t>
        </is>
      </c>
      <c r="B20" s="19" t="inlineStr">
        <is>
          <t>Senhas da equipe com segurança.</t>
        </is>
      </c>
      <c r="C20" s="4" t="inlineStr">
        <is>
          <t>Bitwarden / 1Password</t>
        </is>
      </c>
      <c r="D20" s="4" t="inlineStr">
        <is>
          <t>por pessoa</t>
        </is>
      </c>
      <c r="E20" s="36">
        <f>4*Equipe!E22</f>
        <v/>
      </c>
      <c r="F20" s="36">
        <f>4*Equipe!F22</f>
        <v/>
      </c>
      <c r="G20" s="36">
        <f>4*Equipe!G22</f>
        <v/>
      </c>
      <c r="H20" s="36">
        <f>4*Equipe!H22</f>
        <v/>
      </c>
    </row>
    <row r="21">
      <c r="A21" s="4" t="inlineStr">
        <is>
          <t>Notebooks (amortizados em 36 meses)</t>
        </is>
      </c>
      <c r="B21" s="19" t="inlineStr">
        <is>
          <t>Equipamento da equipe.</t>
        </is>
      </c>
      <c r="C21" s="4" t="inlineStr">
        <is>
          <t>—</t>
        </is>
      </c>
      <c r="D21" s="4" t="inlineStr">
        <is>
          <t>por pessoa</t>
        </is>
      </c>
      <c r="E21" s="36">
        <f>28*Equipe!E22</f>
        <v/>
      </c>
      <c r="F21" s="36">
        <f>28*Equipe!F22</f>
        <v/>
      </c>
      <c r="G21" s="36">
        <f>28*Equipe!G22</f>
        <v/>
      </c>
      <c r="H21" s="36">
        <f>28*Equipe!H22</f>
        <v/>
      </c>
    </row>
    <row r="22">
      <c r="A22" s="16" t="inlineStr">
        <is>
          <t>TOTAL ferramentas (US$/mês)</t>
        </is>
      </c>
      <c r="E22" s="37">
        <f>SUM(E5:E21)</f>
        <v/>
      </c>
      <c r="F22" s="37">
        <f>SUM(F5:F21)</f>
        <v/>
      </c>
      <c r="G22" s="37">
        <f>SUM(G5:G21)</f>
        <v/>
      </c>
      <c r="H22" s="37">
        <f>SUM(H5:H21)</f>
        <v/>
      </c>
    </row>
    <row r="24">
      <c r="A24" s="19" t="inlineStr">
        <is>
          <t>Fontes: preços públicos de Supabase (supabase.com/pricing, 2026), Sentry, GitHub, Google Workspace; itens marcados "Estimativa" nos comentários.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2026-09-26T15:51:06Z</dcterms:created>
  <dcterms:modified xmlns:dcterms="http://purl.org/dc/terms/" xmlns:xsi="http://www.w3.org/2001/XMLSchema-instance" xsi:type="dcterms:W3CDTF">2026-09-29T04:15:31Z</dcterms:modified>
</cp:coreProperties>
</file>