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do" sheetId="1" state="visible" r:id="rId1"/>
    <sheet name="Supostos" sheetId="2" state="visible" r:id="rId2"/>
    <sheet name="Estabelecimentos" sheetId="3" state="visible" r:id="rId3"/>
    <sheet name="Por nível" sheetId="4" state="visible" r:id="rId4"/>
    <sheet name="Equipe" sheetId="5" state="visible" r:id="rId5"/>
    <sheet name="Ferramen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0.0%;(0.0%);-"/>
    <numFmt numFmtId="166" formatCode="#,##0;(#,##0);-"/>
    <numFmt numFmtId="167" formatCode="&quot;Bs&quot; #,##0;(&quot;Bs&quot; #,##0);-"/>
    <numFmt numFmtId="168" formatCode="$0.00"/>
  </numFmts>
  <fonts count="10">
    <font>
      <name val="Calibri"/>
      <family val="2"/>
      <color theme="1"/>
      <sz val="11"/>
      <scheme val="minor"/>
    </font>
    <font>
      <name val="Arial"/>
      <b val="1"/>
      <color rgb="007D2A4C"/>
      <sz val="14"/>
    </font>
    <font>
      <name val="Arial"/>
      <i val="1"/>
      <color rgb="006B5A6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6B5A62"/>
      <sz val="9"/>
    </font>
    <font>
      <name val="Arial"/>
      <b val="1"/>
    </font>
    <font>
      <name val="Arial"/>
      <color rgb="00008000"/>
    </font>
    <font>
      <name val="Arial"/>
      <color rgb="004A3A42"/>
      <sz val="10"/>
    </font>
  </fonts>
  <fills count="5">
    <fill>
      <patternFill/>
    </fill>
    <fill>
      <patternFill patternType="gray125"/>
    </fill>
    <fill>
      <patternFill patternType="solid">
        <fgColor rgb="007D2A4C"/>
      </patternFill>
    </fill>
    <fill>
      <patternFill patternType="solid">
        <fgColor rgb="00FFFF00"/>
      </patternFill>
    </fill>
    <fill>
      <patternFill patternType="solid">
        <fgColor rgb="00F5E9EE"/>
      </patternFill>
    </fill>
  </fills>
  <borders count="2">
    <border>
      <left/>
      <right/>
      <top/>
      <bottom/>
      <diagonal/>
    </border>
    <border>
      <left style="thin">
        <color rgb="00D9C7CF"/>
      </left>
      <right style="thin">
        <color rgb="00D9C7CF"/>
      </right>
      <top style="thin">
        <color rgb="00D9C7CF"/>
      </top>
      <bottom style="thin">
        <color rgb="00D9C7C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7" fontId="8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167" fontId="7" fillId="4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5" fillId="0" borderId="0" pivotButton="0" quotePrefix="0" xfId="0"/>
    <xf numFmtId="164" fontId="5" fillId="3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5" fillId="3" borderId="0" pivotButton="0" quotePrefix="0" xfId="0"/>
    <xf numFmtId="0" fontId="0" fillId="4" borderId="0" pivotButton="0" quotePrefix="0" xfId="0"/>
    <xf numFmtId="166" fontId="5" fillId="0" borderId="0" pivotButton="0" quotePrefix="0" xfId="0"/>
    <xf numFmtId="166" fontId="5" fillId="3" borderId="0" pivotButton="0" quotePrefix="0" xfId="0"/>
    <xf numFmtId="166" fontId="7" fillId="4" borderId="0" pivotButton="0" quotePrefix="0" xfId="0"/>
    <xf numFmtId="166" fontId="0" fillId="0" borderId="0" pivotButton="0" quotePrefix="0" xfId="0"/>
    <xf numFmtId="165" fontId="7" fillId="4" borderId="0" pivotButton="0" quotePrefix="0" xfId="0"/>
    <xf numFmtId="167" fontId="5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SIVEC em Santa Cruz de la Sierra — quanto entra, quanto custa e quanto sobra</t>
        </is>
      </c>
    </row>
    <row r="2">
      <c r="A2" s="2" t="inlineStr">
        <is>
          <t>4 redes, 65 centros de 1º nível, 5 hospitais de 2º, 5 de 3º e o Oncológico (4º). Preços: aba Supostos.</t>
        </is>
      </c>
    </row>
    <row r="4" ht="32" customHeight="1">
      <c r="A4" s="3" t="inlineStr">
        <is>
          <t>Linha</t>
        </is>
      </c>
      <c r="B4" s="3" t="inlineStr">
        <is>
          <t>Por mês (US$)</t>
        </is>
      </c>
      <c r="C4" s="3" t="inlineStr">
        <is>
          <t>Ano 1 (US$) · com implantação</t>
        </is>
      </c>
      <c r="D4" s="3" t="inlineStr">
        <is>
          <t>Ano 2 em diante (US$)</t>
        </is>
      </c>
      <c r="E4" s="3" t="inlineStr">
        <is>
          <t>Ano 2 em diante (Bs)</t>
        </is>
      </c>
    </row>
    <row r="5">
      <c r="A5" s="4" t="inlineStr">
        <is>
          <t>Estabelecimentos e redes cobrados</t>
        </is>
      </c>
      <c r="B5" s="5">
        <f>Estabelecimentos!C31</f>
        <v/>
      </c>
    </row>
    <row r="6">
      <c r="A6" s="4" t="inlineStr">
        <is>
          <t>Mensalidades (receita bruta)</t>
        </is>
      </c>
      <c r="B6" s="6">
        <f>Estabelecimentos!E31</f>
        <v/>
      </c>
      <c r="C6" s="6">
        <f>B6*12</f>
        <v/>
      </c>
      <c r="D6" s="6">
        <f>B6*12</f>
        <v/>
      </c>
      <c r="E6" s="7">
        <f>D6*Supostos!$B$12</f>
        <v/>
      </c>
    </row>
    <row r="7">
      <c r="A7" s="4" t="inlineStr">
        <is>
          <t>Implantação (uma vez)</t>
        </is>
      </c>
      <c r="B7" s="6" t="n">
        <v>0</v>
      </c>
      <c r="C7" s="6">
        <f>Estabelecimentos!H31</f>
        <v/>
      </c>
      <c r="D7" s="6" t="n">
        <v>0</v>
      </c>
      <c r="E7" s="7">
        <f>D7*Supostos!$B$12</f>
        <v/>
      </c>
    </row>
    <row r="8">
      <c r="A8" s="4" t="inlineStr">
        <is>
          <t>Receita bruta total</t>
        </is>
      </c>
      <c r="B8" s="8">
        <f>B6+B7</f>
        <v/>
      </c>
      <c r="C8" s="8">
        <f>C6+C7</f>
        <v/>
      </c>
      <c r="D8" s="8">
        <f>D6+D7</f>
        <v/>
      </c>
      <c r="E8" s="9">
        <f>D8*Supostos!$B$12</f>
        <v/>
      </c>
    </row>
    <row r="9">
      <c r="A9" s="4" t="inlineStr">
        <is>
          <t>(−) Impostos sobre faturamento</t>
        </is>
      </c>
      <c r="B9" s="8">
        <f>-B8*Supostos!$B$13</f>
        <v/>
      </c>
      <c r="C9" s="8">
        <f>-C8*Supostos!$B$13</f>
        <v/>
      </c>
      <c r="D9" s="8">
        <f>-D8*Supostos!$B$13</f>
        <v/>
      </c>
      <c r="E9" s="9">
        <f>D9*Supostos!$B$12</f>
        <v/>
      </c>
    </row>
    <row r="10">
      <c r="A10" s="4" t="inlineStr">
        <is>
          <t>Receita líquida</t>
        </is>
      </c>
      <c r="B10" s="8">
        <f>B8+B9</f>
        <v/>
      </c>
      <c r="C10" s="8">
        <f>C8+C9</f>
        <v/>
      </c>
      <c r="D10" s="8">
        <f>D8+D9</f>
        <v/>
      </c>
      <c r="E10" s="9">
        <f>D10*Supostos!$B$12</f>
        <v/>
      </c>
    </row>
    <row r="11">
      <c r="A11" s="4" t="inlineStr">
        <is>
          <t>(−) Equipe</t>
        </is>
      </c>
      <c r="B11" s="6">
        <f>-Equipe!H12/Supostos!$B$12</f>
        <v/>
      </c>
      <c r="C11" s="6">
        <f>-(Equipe!G12*6+Equipe!H12*6)/Supostos!$B$12</f>
        <v/>
      </c>
      <c r="D11" s="6">
        <f>-Equipe!H12*12/Supostos!$B$12</f>
        <v/>
      </c>
      <c r="E11" s="7">
        <f>D11*Supostos!$B$12</f>
        <v/>
      </c>
    </row>
    <row r="12">
      <c r="A12" s="4" t="inlineStr">
        <is>
          <t>(−) Ferramentas e operação</t>
        </is>
      </c>
      <c r="B12" s="6">
        <f>-Ferramentas!D22</f>
        <v/>
      </c>
      <c r="C12" s="6">
        <f>-Ferramentas!D22*12</f>
        <v/>
      </c>
      <c r="D12" s="6">
        <f>-Ferramentas!D22*12</f>
        <v/>
      </c>
      <c r="E12" s="7">
        <f>D12*Supostos!$B$12</f>
        <v/>
      </c>
    </row>
    <row r="13">
      <c r="A13" s="4" t="inlineStr">
        <is>
          <t>Resultado antes do IUE</t>
        </is>
      </c>
      <c r="B13" s="8">
        <f>B10+B11+B12</f>
        <v/>
      </c>
      <c r="C13" s="8">
        <f>C10+C11+C12</f>
        <v/>
      </c>
      <c r="D13" s="8">
        <f>D10+D11+D12</f>
        <v/>
      </c>
      <c r="E13" s="9">
        <f>D13*Supostos!$B$12</f>
        <v/>
      </c>
    </row>
    <row r="14">
      <c r="A14" s="4" t="inlineStr">
        <is>
          <t>(−) IUE</t>
        </is>
      </c>
      <c r="B14" s="8">
        <f>-MAX(0,B13)*Supostos!$B$14</f>
        <v/>
      </c>
      <c r="C14" s="8">
        <f>-MAX(0,C13)*Supostos!$B$14</f>
        <v/>
      </c>
      <c r="D14" s="8">
        <f>-MAX(0,D13)*Supostos!$B$14</f>
        <v/>
      </c>
      <c r="E14" s="9">
        <f>D14*Supostos!$B$12</f>
        <v/>
      </c>
    </row>
    <row r="15">
      <c r="A15" s="10" t="inlineStr">
        <is>
          <t>LUCRO LÍQUIDO</t>
        </is>
      </c>
      <c r="B15" s="11">
        <f>B13+B14</f>
        <v/>
      </c>
      <c r="C15" s="11">
        <f>C13+C14</f>
        <v/>
      </c>
      <c r="D15" s="11">
        <f>D13+D14</f>
        <v/>
      </c>
      <c r="E15" s="12">
        <f>D15*Supostos!$B$12</f>
        <v/>
      </c>
    </row>
    <row r="16">
      <c r="A16" s="4" t="inlineStr">
        <is>
          <t>Margem líquida</t>
        </is>
      </c>
      <c r="B16" s="13">
        <f>IFERROR(B15/B8,0)</f>
        <v/>
      </c>
      <c r="C16" s="13">
        <f>IFERROR(C15/C8,0)</f>
        <v/>
      </c>
      <c r="D16" s="13">
        <f>IFERROR(D15/D8,0)</f>
        <v/>
      </c>
    </row>
    <row r="17">
      <c r="A17" s="4" t="inlineStr">
        <is>
          <t>Pessoas na equipe (operação)</t>
        </is>
      </c>
      <c r="B17" s="5">
        <f>Equipe!F12</f>
        <v/>
      </c>
      <c r="C17" s="5">
        <f>Equipe!E12</f>
        <v/>
      </c>
      <c r="D17" s="5">
        <f>Equipe!F12</f>
        <v/>
      </c>
    </row>
    <row r="18">
      <c r="A18" t="inlineStr">
        <is>
          <t>Custo por habitante (US$/ano, ano 2)</t>
        </is>
      </c>
      <c r="D18" s="14">
        <f>IFERROR(D6/1600000,0)</f>
        <v/>
      </c>
    </row>
    <row r="19">
      <c r="A19" s="15" t="inlineStr">
        <is>
          <t>População aproximada do município: 1,6 milhão (estimativa).</t>
        </is>
      </c>
    </row>
    <row r="21">
      <c r="A21" s="16" t="inlineStr">
        <is>
          <t>Como ler</t>
        </is>
      </c>
    </row>
    <row r="22">
      <c r="A22" s="17" t="inlineStr">
        <is>
          <t>• Ano 1: 6 meses com a equipe de implantação (3 implantadores) e 6 meses com a equipe de operação; entra a implantação única.</t>
        </is>
      </c>
    </row>
    <row r="23">
      <c r="A23" s="17" t="inlineStr">
        <is>
          <t>• Ano 2 em diante: só mensalidades e equipe de operação.</t>
        </is>
      </c>
    </row>
    <row r="24">
      <c r="A24" s="17" t="inlineStr">
        <is>
          <t>• Ponha 0 na implantação (aba Supostos) para ver o resultado sem cobrar implantação.</t>
        </is>
      </c>
    </row>
    <row r="25">
      <c r="A25" s="17" t="inlineStr">
        <is>
          <t>• As quantidades amarelas (centros por rede, 5º hospital de 3º nível) vêm de estimativa: confirmar com a Secretaria Municipal de Saúde.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80" customWidth="1" min="3" max="3"/>
  </cols>
  <sheetData>
    <row r="1">
      <c r="A1" s="1" t="inlineStr">
        <is>
          <t>SIVEC · Santa Cruz de la Sierra — Supostos</t>
        </is>
      </c>
    </row>
    <row r="2">
      <c r="A2" s="2" t="inlineStr">
        <is>
          <t>Azul = você pode mudar. Amarelo = estimativa/proposta a confirmar. As outras abas recalculam sozinhas.</t>
        </is>
      </c>
    </row>
    <row r="4">
      <c r="A4" s="3" t="inlineStr">
        <is>
          <t>Suposto</t>
        </is>
      </c>
      <c r="B4" s="3" t="inlineStr">
        <is>
          <t>Valor</t>
        </is>
      </c>
      <c r="C4" s="3" t="inlineStr">
        <is>
          <t>Observação</t>
        </is>
      </c>
    </row>
    <row r="5">
      <c r="A5" s="4" t="inlineStr">
        <is>
          <t>Preço mensal · centro de 1º nível (US$)</t>
        </is>
      </c>
      <c r="B5" s="18" t="n">
        <v>100</v>
      </c>
      <c r="C5" s="15" t="inlineStr">
        <is>
          <t>Definido pelo autor.</t>
        </is>
      </c>
    </row>
    <row r="6">
      <c r="A6" s="4" t="inlineStr">
        <is>
          <t>Preço mensal · hospital de 2º nível (US$)</t>
        </is>
      </c>
      <c r="B6" s="18" t="n">
        <v>250</v>
      </c>
      <c r="C6" s="15" t="inlineStr">
        <is>
          <t>Definido pelo autor.</t>
        </is>
      </c>
    </row>
    <row r="7">
      <c r="A7" s="4" t="inlineStr">
        <is>
          <t>Preço mensal · 3º nível, 4º nível (oncológico) e laboratório (US$)</t>
        </is>
      </c>
      <c r="B7" s="18" t="n">
        <v>501</v>
      </c>
      <c r="C7" s="15" t="inlineStr">
        <is>
          <t>Definido pelo autor.</t>
        </is>
      </c>
    </row>
    <row r="8">
      <c r="A8" s="4" t="inlineStr">
        <is>
          <t>Preço mensal · rede de saúde (tablero do gestor + mapa) (US$)</t>
        </is>
      </c>
      <c r="B8" s="19" t="n">
        <v>300</v>
      </c>
      <c r="C8" s="15" t="inlineStr">
        <is>
          <t>Proposta do Claude (o autor pediu para incluir as redes). Ajuste aqui.</t>
        </is>
      </c>
    </row>
    <row r="9">
      <c r="A9" s="4" t="inlineStr">
        <is>
          <t>Implantação única · centro de 1º nível (US$)</t>
        </is>
      </c>
      <c r="B9" s="19" t="n">
        <v>500</v>
      </c>
      <c r="C9" s="15" t="inlineStr">
        <is>
          <t>Proposta: capacitação, usuários e configuração. Ponha 0 se não for cobrar.</t>
        </is>
      </c>
    </row>
    <row r="10">
      <c r="A10" s="4" t="inlineStr">
        <is>
          <t>Implantação única · hospital de 2º nível (US$)</t>
        </is>
      </c>
      <c r="B10" s="19" t="n">
        <v>1000</v>
      </c>
      <c r="C10" s="15" t="inlineStr">
        <is>
          <t>Proposta.</t>
        </is>
      </c>
    </row>
    <row r="11">
      <c r="A11" s="4" t="inlineStr">
        <is>
          <t>Implantação única · 3º/4º nível e laboratório (US$)</t>
        </is>
      </c>
      <c r="B11" s="19" t="n">
        <v>1500</v>
      </c>
      <c r="C11" s="15" t="inlineStr">
        <is>
          <t>Proposta.</t>
        </is>
      </c>
    </row>
    <row r="12">
      <c r="A12" s="4" t="inlineStr">
        <is>
          <t>Câmbio (Bs por US$)</t>
        </is>
      </c>
      <c r="B12" s="20" t="n">
        <v>6.96</v>
      </c>
      <c r="C12" s="15" t="inlineStr">
        <is>
          <t>Câmbio oficial.</t>
        </is>
      </c>
    </row>
    <row r="13">
      <c r="A13" s="4" t="inlineStr">
        <is>
          <t>Impostos sobre o faturamento (IVA 13% + IT 3%)</t>
        </is>
      </c>
      <c r="B13" s="21" t="n">
        <v>0.16</v>
      </c>
      <c r="C13" s="15" t="inlineStr">
        <is>
          <t>Bolívia.</t>
        </is>
      </c>
    </row>
    <row r="14">
      <c r="A14" s="4" t="inlineStr">
        <is>
          <t>Imposto sobre o lucro (IUE)</t>
        </is>
      </c>
      <c r="B14" s="21" t="n">
        <v>0.25</v>
      </c>
      <c r="C14" s="15" t="inlineStr">
        <is>
          <t>Bolívia.</t>
        </is>
      </c>
    </row>
    <row r="15">
      <c r="A15" s="4" t="inlineStr">
        <is>
          <t>Encargos sociais sobre salário</t>
        </is>
      </c>
      <c r="B15" s="22" t="n">
        <v>0.33</v>
      </c>
      <c r="C15" s="15" t="inlineStr">
        <is>
          <t>Aportes patronais + aguinaldo + previsão de indenização. Confirmar com o contador.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8" customWidth="1" min="2" max="2"/>
    <col width="11" customWidth="1" min="3" max="3"/>
    <col width="14" customWidth="1" min="4" max="4"/>
    <col width="16" customWidth="1" min="5" max="5"/>
    <col width="16" customWidth="1" min="6" max="6"/>
    <col width="18" customWidth="1" min="7" max="7"/>
    <col width="16" customWidth="1" min="8" max="8"/>
    <col width="90" customWidth="1" min="9" max="9"/>
  </cols>
  <sheetData>
    <row r="1">
      <c r="A1" s="1" t="inlineStr">
        <is>
          <t>Santa Cruz de la Sierra · redes e estabelecimentos</t>
        </is>
      </c>
    </row>
    <row r="2">
      <c r="A2" s="2" t="inlineStr">
        <is>
          <t>Cada linha é cobrada pelo preço do seu nível. Quantidades em azul; amarelo = estimativa.</t>
        </is>
      </c>
    </row>
    <row r="4" ht="40" customHeight="1">
      <c r="A4" s="3" t="inlineStr">
        <is>
          <t>Item</t>
        </is>
      </c>
      <c r="B4" s="3" t="inlineStr">
        <is>
          <t>Nível</t>
        </is>
      </c>
      <c r="C4" s="3" t="inlineStr">
        <is>
          <t>Quantidade</t>
        </is>
      </c>
      <c r="D4" s="3" t="inlineStr">
        <is>
          <t>Preço mensal (US$)</t>
        </is>
      </c>
      <c r="E4" s="3" t="inlineStr">
        <is>
          <t>Receita mensal (US$)</t>
        </is>
      </c>
      <c r="F4" s="3" t="inlineStr">
        <is>
          <t>Receita anual (US$)</t>
        </is>
      </c>
      <c r="G4" s="3" t="inlineStr">
        <is>
          <t>Receita anual (Bs)</t>
        </is>
      </c>
      <c r="H4" s="3" t="inlineStr">
        <is>
          <t>Implantação única (US$)</t>
        </is>
      </c>
      <c r="I4" s="3" t="inlineStr">
        <is>
          <t>Fonte / observação</t>
        </is>
      </c>
    </row>
    <row r="5">
      <c r="A5" s="10" t="inlineStr">
        <is>
          <t>REDES MUNICIPAIS DE SAÚDE</t>
        </is>
      </c>
      <c r="B5" s="23" t="n"/>
      <c r="C5" s="23" t="n"/>
      <c r="D5" s="23" t="n"/>
      <c r="E5" s="23" t="n"/>
      <c r="F5" s="23" t="n"/>
      <c r="G5" s="23" t="n"/>
      <c r="H5" s="23" t="n"/>
      <c r="I5" s="23" t="n"/>
    </row>
    <row r="6">
      <c r="A6" s="4" t="inlineStr">
        <is>
          <t>Red Centro</t>
        </is>
      </c>
      <c r="B6" s="4" t="inlineStr">
        <is>
          <t>Rede</t>
        </is>
      </c>
      <c r="C6" s="24" t="n">
        <v>1</v>
      </c>
      <c r="D6" s="6">
        <f>Supostos!$B$8</f>
        <v/>
      </c>
      <c r="E6" s="8">
        <f>C6*D6</f>
        <v/>
      </c>
      <c r="F6" s="8">
        <f>E6*12</f>
        <v/>
      </c>
      <c r="G6" s="9">
        <f>F6*Supostos!$B$12</f>
        <v/>
      </c>
      <c r="H6" s="8" t="n">
        <v>0</v>
      </c>
      <c r="I6" s="15" t="inlineStr">
        <is>
          <t>GAM Santa Cruz: redes Norte, Sur, Este e Centro (El Deber).</t>
        </is>
      </c>
    </row>
    <row r="7">
      <c r="A7" s="4" t="inlineStr">
        <is>
          <t>Red Norte</t>
        </is>
      </c>
      <c r="B7" s="4" t="inlineStr">
        <is>
          <t>Rede</t>
        </is>
      </c>
      <c r="C7" s="24" t="n">
        <v>1</v>
      </c>
      <c r="D7" s="6">
        <f>Supostos!$B$8</f>
        <v/>
      </c>
      <c r="E7" s="8">
        <f>C7*D7</f>
        <v/>
      </c>
      <c r="F7" s="8">
        <f>E7*12</f>
        <v/>
      </c>
      <c r="G7" s="9">
        <f>F7*Supostos!$B$12</f>
        <v/>
      </c>
      <c r="H7" s="8" t="n">
        <v>0</v>
      </c>
      <c r="I7" s="15" t="inlineStr"/>
    </row>
    <row r="8">
      <c r="A8" s="4" t="inlineStr">
        <is>
          <t>Red Sur</t>
        </is>
      </c>
      <c r="B8" s="4" t="inlineStr">
        <is>
          <t>Rede</t>
        </is>
      </c>
      <c r="C8" s="24" t="n">
        <v>1</v>
      </c>
      <c r="D8" s="6">
        <f>Supostos!$B$8</f>
        <v/>
      </c>
      <c r="E8" s="8">
        <f>C8*D8</f>
        <v/>
      </c>
      <c r="F8" s="8">
        <f>E8*12</f>
        <v/>
      </c>
      <c r="G8" s="9">
        <f>F8*Supostos!$B$12</f>
        <v/>
      </c>
      <c r="H8" s="8" t="n">
        <v>0</v>
      </c>
      <c r="I8" s="15" t="inlineStr"/>
    </row>
    <row r="9">
      <c r="A9" s="4" t="inlineStr">
        <is>
          <t>Red Este</t>
        </is>
      </c>
      <c r="B9" s="4" t="inlineStr">
        <is>
          <t>Rede</t>
        </is>
      </c>
      <c r="C9" s="24" t="n">
        <v>1</v>
      </c>
      <c r="D9" s="6">
        <f>Supostos!$B$8</f>
        <v/>
      </c>
      <c r="E9" s="8">
        <f>C9*D9</f>
        <v/>
      </c>
      <c r="F9" s="8">
        <f>E9*12</f>
        <v/>
      </c>
      <c r="G9" s="9">
        <f>F9*Supostos!$B$12</f>
        <v/>
      </c>
      <c r="H9" s="8" t="n">
        <v>0</v>
      </c>
      <c r="I9" s="15" t="inlineStr"/>
    </row>
    <row r="10">
      <c r="A10" s="10" t="inlineStr">
        <is>
          <t>CENTROS DE SAÚDE · 1º NÍVEL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4" t="inlineStr">
        <is>
          <t>Red Centro · centros de saúde</t>
        </is>
      </c>
      <c r="B11" s="4" t="inlineStr">
        <is>
          <t>1º</t>
        </is>
      </c>
      <c r="C11" s="24" t="n">
        <v>9</v>
      </c>
      <c r="D11" s="6">
        <f>Supostos!$B$5</f>
        <v/>
      </c>
      <c r="E11" s="8">
        <f>C11*D11</f>
        <v/>
      </c>
      <c r="F11" s="8">
        <f>E11*12</f>
        <v/>
      </c>
      <c r="G11" s="9">
        <f>F11*Supostos!$B$12</f>
        <v/>
      </c>
      <c r="H11" s="8">
        <f>C11*Supostos!$B$9</f>
        <v/>
      </c>
      <c r="I11" s="15" t="inlineStr">
        <is>
          <t>Cadastrados no SIVEC: Elvira Wunderlich, Perpetuo Socorro, Roque Aguilera, San Carlos, San Luis, Santa Rosita, Virgen de Cotoca, Virgen de Fátima, Willy Lemaitre.</t>
        </is>
      </c>
    </row>
    <row r="12">
      <c r="A12" s="4" t="inlineStr">
        <is>
          <t>Red Norte · centros de saúde</t>
        </is>
      </c>
      <c r="B12" s="4" t="inlineStr">
        <is>
          <t>1º</t>
        </is>
      </c>
      <c r="C12" s="25" t="n">
        <v>19</v>
      </c>
      <c r="D12" s="6">
        <f>Supostos!$B$5</f>
        <v/>
      </c>
      <c r="E12" s="8">
        <f>C12*D12</f>
        <v/>
      </c>
      <c r="F12" s="8">
        <f>E12*12</f>
        <v/>
      </c>
      <c r="G12" s="9">
        <f>F12*Supostos!$B$12</f>
        <v/>
      </c>
      <c r="H12" s="8">
        <f>C12*Supostos!$B$9</f>
        <v/>
      </c>
      <c r="I12" s="15" t="inlineStr">
        <is>
          <t>Estimativa: 65 centros no município (El Deber) menos os 9 da Red Centro, divididos entre as outras 3 redes.</t>
        </is>
      </c>
    </row>
    <row r="13">
      <c r="A13" s="4" t="inlineStr">
        <is>
          <t>Red Sur · centros de saúde</t>
        </is>
      </c>
      <c r="B13" s="4" t="inlineStr">
        <is>
          <t>1º</t>
        </is>
      </c>
      <c r="C13" s="25" t="n">
        <v>19</v>
      </c>
      <c r="D13" s="6">
        <f>Supostos!$B$5</f>
        <v/>
      </c>
      <c r="E13" s="8">
        <f>C13*D13</f>
        <v/>
      </c>
      <c r="F13" s="8">
        <f>E13*12</f>
        <v/>
      </c>
      <c r="G13" s="9">
        <f>F13*Supostos!$B$12</f>
        <v/>
      </c>
      <c r="H13" s="8">
        <f>C13*Supostos!$B$9</f>
        <v/>
      </c>
      <c r="I13" s="15" t="inlineStr">
        <is>
          <t>Estimativa (idem).</t>
        </is>
      </c>
    </row>
    <row r="14">
      <c r="A14" s="4" t="inlineStr">
        <is>
          <t>Red Este · centros de saúde</t>
        </is>
      </c>
      <c r="B14" s="4" t="inlineStr">
        <is>
          <t>1º</t>
        </is>
      </c>
      <c r="C14" s="25" t="n">
        <v>18</v>
      </c>
      <c r="D14" s="6">
        <f>Supostos!$B$5</f>
        <v/>
      </c>
      <c r="E14" s="8">
        <f>C14*D14</f>
        <v/>
      </c>
      <c r="F14" s="8">
        <f>E14*12</f>
        <v/>
      </c>
      <c r="G14" s="9">
        <f>F14*Supostos!$B$12</f>
        <v/>
      </c>
      <c r="H14" s="8">
        <f>C14*Supostos!$B$9</f>
        <v/>
      </c>
      <c r="I14" s="15" t="inlineStr">
        <is>
          <t>Estimativa (idem).</t>
        </is>
      </c>
    </row>
    <row r="15">
      <c r="A15" s="10" t="inlineStr">
        <is>
          <t>HOSPITAIS MUNICIPAIS · 2º NÍVEL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</row>
    <row r="16">
      <c r="A16" s="4" t="inlineStr">
        <is>
          <t>Hospital Municipal Francés</t>
        </is>
      </c>
      <c r="B16" s="4" t="inlineStr">
        <is>
          <t>2º</t>
        </is>
      </c>
      <c r="C16" s="24" t="n">
        <v>1</v>
      </c>
      <c r="D16" s="6">
        <f>Supostos!$B$6</f>
        <v/>
      </c>
      <c r="E16" s="8">
        <f>C16*D16</f>
        <v/>
      </c>
      <c r="F16" s="8">
        <f>E16*12</f>
        <v/>
      </c>
      <c r="G16" s="9">
        <f>F16*Supostos!$B$12</f>
        <v/>
      </c>
      <c r="H16" s="8">
        <f>C16*Supostos!$B$10</f>
        <v/>
      </c>
      <c r="I16" s="15" t="inlineStr">
        <is>
          <t>GAM Santa Cruz: 5 hospitais municipais de 2º nível.</t>
        </is>
      </c>
    </row>
    <row r="17">
      <c r="A17" s="4" t="inlineStr">
        <is>
          <t>Hospital Municipal Villa 1ro de Mayo</t>
        </is>
      </c>
      <c r="B17" s="4" t="inlineStr">
        <is>
          <t>2º</t>
        </is>
      </c>
      <c r="C17" s="24" t="n">
        <v>1</v>
      </c>
      <c r="D17" s="6">
        <f>Supostos!$B$6</f>
        <v/>
      </c>
      <c r="E17" s="8">
        <f>C17*D17</f>
        <v/>
      </c>
      <c r="F17" s="8">
        <f>E17*12</f>
        <v/>
      </c>
      <c r="G17" s="9">
        <f>F17*Supostos!$B$12</f>
        <v/>
      </c>
      <c r="H17" s="8">
        <f>C17*Supostos!$B$10</f>
        <v/>
      </c>
      <c r="I17" s="15" t="inlineStr"/>
    </row>
    <row r="18">
      <c r="A18" s="4" t="inlineStr">
        <is>
          <t>Hospital Municipal Pampa de la Isla</t>
        </is>
      </c>
      <c r="B18" s="4" t="inlineStr">
        <is>
          <t>2º</t>
        </is>
      </c>
      <c r="C18" s="24" t="n">
        <v>1</v>
      </c>
      <c r="D18" s="6">
        <f>Supostos!$B$6</f>
        <v/>
      </c>
      <c r="E18" s="8">
        <f>C18*D18</f>
        <v/>
      </c>
      <c r="F18" s="8">
        <f>E18*12</f>
        <v/>
      </c>
      <c r="G18" s="9">
        <f>F18*Supostos!$B$12</f>
        <v/>
      </c>
      <c r="H18" s="8">
        <f>C18*Supostos!$B$10</f>
        <v/>
      </c>
      <c r="I18" s="15" t="inlineStr"/>
    </row>
    <row r="19">
      <c r="A19" s="4" t="inlineStr">
        <is>
          <t>Hospital Municipal Plan 3000</t>
        </is>
      </c>
      <c r="B19" s="4" t="inlineStr">
        <is>
          <t>2º</t>
        </is>
      </c>
      <c r="C19" s="24" t="n">
        <v>1</v>
      </c>
      <c r="D19" s="6">
        <f>Supostos!$B$6</f>
        <v/>
      </c>
      <c r="E19" s="8">
        <f>C19*D19</f>
        <v/>
      </c>
      <c r="F19" s="8">
        <f>E19*12</f>
        <v/>
      </c>
      <c r="G19" s="9">
        <f>F19*Supostos!$B$12</f>
        <v/>
      </c>
      <c r="H19" s="8">
        <f>C19*Supostos!$B$10</f>
        <v/>
      </c>
      <c r="I19" s="15" t="inlineStr"/>
    </row>
    <row r="20">
      <c r="A20" s="4" t="inlineStr">
        <is>
          <t>Hospital Municipal Bajío del Oriente</t>
        </is>
      </c>
      <c r="B20" s="4" t="inlineStr">
        <is>
          <t>2º</t>
        </is>
      </c>
      <c r="C20" s="24" t="n">
        <v>1</v>
      </c>
      <c r="D20" s="6">
        <f>Supostos!$B$6</f>
        <v/>
      </c>
      <c r="E20" s="8">
        <f>C20*D20</f>
        <v/>
      </c>
      <c r="F20" s="8">
        <f>E20*12</f>
        <v/>
      </c>
      <c r="G20" s="9">
        <f>F20*Supostos!$B$12</f>
        <v/>
      </c>
      <c r="H20" s="8">
        <f>C20*Supostos!$B$10</f>
        <v/>
      </c>
      <c r="I20" s="15" t="inlineStr"/>
    </row>
    <row r="21">
      <c r="A21" s="10" t="inlineStr">
        <is>
          <t>HOSPITAIS DE 3º NÍVEL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</row>
    <row r="22">
      <c r="A22" s="4" t="inlineStr">
        <is>
          <t>Hospital San Juan de Dios</t>
        </is>
      </c>
      <c r="B22" s="4" t="inlineStr">
        <is>
          <t>3º</t>
        </is>
      </c>
      <c r="C22" s="24" t="n">
        <v>1</v>
      </c>
      <c r="D22" s="6">
        <f>Supostos!$B$7</f>
        <v/>
      </c>
      <c r="E22" s="8">
        <f>C22*D22</f>
        <v/>
      </c>
      <c r="F22" s="8">
        <f>E22*12</f>
        <v/>
      </c>
      <c r="G22" s="9">
        <f>F22*Supostos!$B$12</f>
        <v/>
      </c>
      <c r="H22" s="8">
        <f>C22*Supostos!$B$11</f>
        <v/>
      </c>
      <c r="I22" s="15" t="inlineStr">
        <is>
          <t>Defensoría del Pueblo: 5 hospitais de 3º nível na cidade.</t>
        </is>
      </c>
    </row>
    <row r="23">
      <c r="A23" s="4" t="inlineStr">
        <is>
          <t>Hospital Japonés</t>
        </is>
      </c>
      <c r="B23" s="4" t="inlineStr">
        <is>
          <t>3º</t>
        </is>
      </c>
      <c r="C23" s="24" t="n">
        <v>1</v>
      </c>
      <c r="D23" s="6">
        <f>Supostos!$B$7</f>
        <v/>
      </c>
      <c r="E23" s="8">
        <f>C23*D23</f>
        <v/>
      </c>
      <c r="F23" s="8">
        <f>E23*12</f>
        <v/>
      </c>
      <c r="G23" s="9">
        <f>F23*Supostos!$B$12</f>
        <v/>
      </c>
      <c r="H23" s="8">
        <f>C23*Supostos!$B$11</f>
        <v/>
      </c>
      <c r="I23" s="15" t="inlineStr"/>
    </row>
    <row r="24">
      <c r="A24" s="4" t="inlineStr">
        <is>
          <t>Hospital de Niños Dr. Mario Ortiz Suárez</t>
        </is>
      </c>
      <c r="B24" s="4" t="inlineStr">
        <is>
          <t>3º</t>
        </is>
      </c>
      <c r="C24" s="24" t="n">
        <v>1</v>
      </c>
      <c r="D24" s="6">
        <f>Supostos!$B$7</f>
        <v/>
      </c>
      <c r="E24" s="8">
        <f>C24*D24</f>
        <v/>
      </c>
      <c r="F24" s="8">
        <f>E24*12</f>
        <v/>
      </c>
      <c r="G24" s="9">
        <f>F24*Supostos!$B$12</f>
        <v/>
      </c>
      <c r="H24" s="8">
        <f>C24*Supostos!$B$11</f>
        <v/>
      </c>
      <c r="I24" s="15" t="inlineStr"/>
    </row>
    <row r="25">
      <c r="A25" s="4" t="inlineStr">
        <is>
          <t>Hospital de la Mujer Dr. Percy Boland</t>
        </is>
      </c>
      <c r="B25" s="4" t="inlineStr">
        <is>
          <t>3º</t>
        </is>
      </c>
      <c r="C25" s="25" t="n">
        <v>1</v>
      </c>
      <c r="D25" s="6">
        <f>Supostos!$B$7</f>
        <v/>
      </c>
      <c r="E25" s="8">
        <f>C25*D25</f>
        <v/>
      </c>
      <c r="F25" s="8">
        <f>E25*12</f>
        <v/>
      </c>
      <c r="G25" s="9">
        <f>F25*Supostos!$B$12</f>
        <v/>
      </c>
      <c r="H25" s="8">
        <f>C25*Supostos!$B$11</f>
        <v/>
      </c>
      <c r="I25" s="15" t="inlineStr">
        <is>
          <t>Confirmar se entra na conta dos 5.</t>
        </is>
      </c>
    </row>
    <row r="26">
      <c r="A26" s="4" t="inlineStr">
        <is>
          <t>5º hospital de 3º nível (a confirmar)</t>
        </is>
      </c>
      <c r="B26" s="4" t="inlineStr">
        <is>
          <t>3º</t>
        </is>
      </c>
      <c r="C26" s="25" t="n">
        <v>1</v>
      </c>
      <c r="D26" s="6">
        <f>Supostos!$B$7</f>
        <v/>
      </c>
      <c r="E26" s="8">
        <f>C26*D26</f>
        <v/>
      </c>
      <c r="F26" s="8">
        <f>E26*12</f>
        <v/>
      </c>
      <c r="G26" s="9">
        <f>F26*Supostos!$B$12</f>
        <v/>
      </c>
      <c r="H26" s="8">
        <f>C26*Supostos!$B$11</f>
        <v/>
      </c>
      <c r="I26" s="15" t="inlineStr">
        <is>
          <t>A fonte diz 5; confirmar o nome com o SEDES.</t>
        </is>
      </c>
    </row>
    <row r="27">
      <c r="A27" s="10" t="inlineStr">
        <is>
          <t>4º NÍVEL E LABORATÓRIOS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</row>
    <row r="28">
      <c r="A28" s="4" t="inlineStr">
        <is>
          <t>Instituto Oncológico del Oriente Boliviano</t>
        </is>
      </c>
      <c r="B28" s="4" t="inlineStr">
        <is>
          <t>4º</t>
        </is>
      </c>
      <c r="C28" s="24" t="n">
        <v>1</v>
      </c>
      <c r="D28" s="6">
        <f>Supostos!$B$7</f>
        <v/>
      </c>
      <c r="E28" s="8">
        <f>C28*D28</f>
        <v/>
      </c>
      <c r="F28" s="8">
        <f>E28*12</f>
        <v/>
      </c>
      <c r="G28" s="9">
        <f>F28*Supostos!$B$12</f>
        <v/>
      </c>
      <c r="H28" s="8">
        <f>C28*Supostos!$B$11</f>
        <v/>
      </c>
      <c r="I28" s="15" t="inlineStr">
        <is>
          <t>Já conectado ao SIVEC (laboratório e colposcopia).</t>
        </is>
      </c>
    </row>
    <row r="29">
      <c r="A29" s="4" t="inlineStr">
        <is>
          <t>Outros laboratórios de citologia</t>
        </is>
      </c>
      <c r="B29" s="4" t="inlineStr">
        <is>
          <t>Lab</t>
        </is>
      </c>
      <c r="C29" s="25" t="n">
        <v>0</v>
      </c>
      <c r="D29" s="6">
        <f>Supostos!$B$7</f>
        <v/>
      </c>
      <c r="E29" s="8">
        <f>C29*D29</f>
        <v/>
      </c>
      <c r="F29" s="8">
        <f>E29*12</f>
        <v/>
      </c>
      <c r="G29" s="9">
        <f>F29*Supostos!$B$12</f>
        <v/>
      </c>
      <c r="H29" s="8">
        <f>C29*Supostos!$B$11</f>
        <v/>
      </c>
      <c r="I29" s="15" t="inlineStr">
        <is>
          <t>Se houver outro laboratório que leia PAP, coloque a quantidade.</t>
        </is>
      </c>
    </row>
    <row r="31">
      <c r="A31" s="10" t="inlineStr">
        <is>
          <t>TOTAL SANTA CRUZ DE LA SIERRA</t>
        </is>
      </c>
      <c r="C31" s="26">
        <f>SUM(C5:C29)</f>
        <v/>
      </c>
      <c r="E31" s="11">
        <f>SUM(E5:E29)</f>
        <v/>
      </c>
      <c r="F31" s="11">
        <f>SUM(F5:F29)</f>
        <v/>
      </c>
      <c r="G31" s="12">
        <f>SUM(G5:G29)</f>
        <v/>
      </c>
      <c r="H31" s="11">
        <f>SUM(H5:H29)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>
      <c r="A1" s="1" t="inlineStr">
        <is>
          <t>Resumo por nível e por rede</t>
        </is>
      </c>
    </row>
    <row r="2">
      <c r="A2" s="2" t="inlineStr">
        <is>
          <t>Soma automática da aba Estabelecimentos.</t>
        </is>
      </c>
    </row>
    <row r="4">
      <c r="A4" s="3" t="inlineStr">
        <is>
          <t>Nível</t>
        </is>
      </c>
      <c r="B4" s="3" t="inlineStr">
        <is>
          <t>Quantidade</t>
        </is>
      </c>
      <c r="C4" s="3" t="inlineStr">
        <is>
          <t>Receita mensal (US$)</t>
        </is>
      </c>
      <c r="D4" s="3" t="inlineStr">
        <is>
          <t>Receita anual (US$)</t>
        </is>
      </c>
      <c r="E4" s="3" t="inlineStr">
        <is>
          <t>Receita anual (Bs)</t>
        </is>
      </c>
      <c r="F4" s="3" t="inlineStr">
        <is>
          <t>% da receita</t>
        </is>
      </c>
    </row>
    <row r="5">
      <c r="A5" s="4" t="inlineStr">
        <is>
          <t>Redes</t>
        </is>
      </c>
      <c r="B5" s="27">
        <f>SUMIF(Estabelecimentos!$B$5:$B$29,"Rede",Estabelecimentos!$C$5:$C$29)</f>
        <v/>
      </c>
      <c r="C5" s="8">
        <f>SUMIF(Estabelecimentos!$B$5:$B$29,"Rede",Estabelecimentos!$E$5:$E$29)</f>
        <v/>
      </c>
      <c r="D5" s="8">
        <f>C5*12</f>
        <v/>
      </c>
      <c r="E5" s="9">
        <f>D5*Supostos!$B$12</f>
        <v/>
      </c>
      <c r="F5" s="13">
        <f>IFERROR(C5/C11,0)</f>
        <v/>
      </c>
    </row>
    <row r="6">
      <c r="A6" s="4" t="inlineStr">
        <is>
          <t>1º nível · centros de saúde</t>
        </is>
      </c>
      <c r="B6" s="27">
        <f>SUMIF(Estabelecimentos!$B$5:$B$29,"1º",Estabelecimentos!$C$5:$C$29)</f>
        <v/>
      </c>
      <c r="C6" s="8">
        <f>SUMIF(Estabelecimentos!$B$5:$B$29,"1º",Estabelecimentos!$E$5:$E$29)</f>
        <v/>
      </c>
      <c r="D6" s="8">
        <f>C6*12</f>
        <v/>
      </c>
      <c r="E6" s="9">
        <f>D6*Supostos!$B$12</f>
        <v/>
      </c>
      <c r="F6" s="13">
        <f>IFERROR(C6/C11,0)</f>
        <v/>
      </c>
    </row>
    <row r="7">
      <c r="A7" s="4" t="inlineStr">
        <is>
          <t>2º nível · hospitais municipais</t>
        </is>
      </c>
      <c r="B7" s="27">
        <f>SUMIF(Estabelecimentos!$B$5:$B$29,"2º",Estabelecimentos!$C$5:$C$29)</f>
        <v/>
      </c>
      <c r="C7" s="8">
        <f>SUMIF(Estabelecimentos!$B$5:$B$29,"2º",Estabelecimentos!$E$5:$E$29)</f>
        <v/>
      </c>
      <c r="D7" s="8">
        <f>C7*12</f>
        <v/>
      </c>
      <c r="E7" s="9">
        <f>D7*Supostos!$B$12</f>
        <v/>
      </c>
      <c r="F7" s="13">
        <f>IFERROR(C7/C11,0)</f>
        <v/>
      </c>
    </row>
    <row r="8">
      <c r="A8" s="4" t="inlineStr">
        <is>
          <t>3º nível</t>
        </is>
      </c>
      <c r="B8" s="27">
        <f>SUMIF(Estabelecimentos!$B$5:$B$29,"3º",Estabelecimentos!$C$5:$C$29)</f>
        <v/>
      </c>
      <c r="C8" s="8">
        <f>SUMIF(Estabelecimentos!$B$5:$B$29,"3º",Estabelecimentos!$E$5:$E$29)</f>
        <v/>
      </c>
      <c r="D8" s="8">
        <f>C8*12</f>
        <v/>
      </c>
      <c r="E8" s="9">
        <f>D8*Supostos!$B$12</f>
        <v/>
      </c>
      <c r="F8" s="13">
        <f>IFERROR(C8/C11,0)</f>
        <v/>
      </c>
    </row>
    <row r="9">
      <c r="A9" s="4" t="inlineStr">
        <is>
          <t>4º nível · oncológico</t>
        </is>
      </c>
      <c r="B9" s="27">
        <f>SUMIF(Estabelecimentos!$B$5:$B$29,"4º",Estabelecimentos!$C$5:$C$29)</f>
        <v/>
      </c>
      <c r="C9" s="8">
        <f>SUMIF(Estabelecimentos!$B$5:$B$29,"4º",Estabelecimentos!$E$5:$E$29)</f>
        <v/>
      </c>
      <c r="D9" s="8">
        <f>C9*12</f>
        <v/>
      </c>
      <c r="E9" s="9">
        <f>D9*Supostos!$B$12</f>
        <v/>
      </c>
      <c r="F9" s="13">
        <f>IFERROR(C9/C11,0)</f>
        <v/>
      </c>
    </row>
    <row r="10">
      <c r="A10" s="4" t="inlineStr">
        <is>
          <t>Laboratórios</t>
        </is>
      </c>
      <c r="B10" s="27">
        <f>SUMIF(Estabelecimentos!$B$5:$B$29,"Lab",Estabelecimentos!$C$5:$C$29)</f>
        <v/>
      </c>
      <c r="C10" s="8">
        <f>SUMIF(Estabelecimentos!$B$5:$B$29,"Lab",Estabelecimentos!$E$5:$E$29)</f>
        <v/>
      </c>
      <c r="D10" s="8">
        <f>C10*12</f>
        <v/>
      </c>
      <c r="E10" s="9">
        <f>D10*Supostos!$B$12</f>
        <v/>
      </c>
      <c r="F10" s="13">
        <f>IFERROR(C10/C11,0)</f>
        <v/>
      </c>
    </row>
    <row r="11">
      <c r="A11" s="10" t="inlineStr">
        <is>
          <t>TOTAL</t>
        </is>
      </c>
      <c r="B11" s="26">
        <f>SUM(B5:B10)</f>
        <v/>
      </c>
      <c r="C11" s="11">
        <f>SUM(C5:C10)</f>
        <v/>
      </c>
      <c r="D11" s="11">
        <f>SUM(D5:D10)</f>
        <v/>
      </c>
      <c r="E11" s="12">
        <f>SUM(E5:E10)</f>
        <v/>
      </c>
      <c r="F11" s="28">
        <f>SUM(F5:F10)</f>
        <v/>
      </c>
    </row>
    <row r="14">
      <c r="A14" s="16" t="inlineStr">
        <is>
          <t>Por rede (a rede + seus centros de 1º nível)</t>
        </is>
      </c>
    </row>
    <row r="15">
      <c r="A15" s="3" t="inlineStr">
        <is>
          <t>Rede</t>
        </is>
      </c>
      <c r="B15" s="3" t="inlineStr">
        <is>
          <t>Centros</t>
        </is>
      </c>
      <c r="C15" s="3" t="inlineStr">
        <is>
          <t>Receita mensal (US$)</t>
        </is>
      </c>
      <c r="D15" s="3" t="inlineStr">
        <is>
          <t>Receita anual (US$)</t>
        </is>
      </c>
      <c r="E15" s="3" t="inlineStr">
        <is>
          <t>Receita anual (Bs)</t>
        </is>
      </c>
      <c r="F15" s="3" t="inlineStr"/>
    </row>
    <row r="16">
      <c r="A16" s="4" t="inlineStr">
        <is>
          <t>Red Centro</t>
        </is>
      </c>
      <c r="B16" s="27">
        <f>SUMIF(Estabelecimentos!$A$5:$A$29,"Red Centro · centros de saúde",Estabelecimentos!$C$5:$C$29)</f>
        <v/>
      </c>
      <c r="C16" s="8">
        <f>SUMIF(Estabelecimentos!$A$5:$A$29,"Red Centro*",Estabelecimentos!$E$5:$E$29)</f>
        <v/>
      </c>
      <c r="D16" s="8">
        <f>C16*12</f>
        <v/>
      </c>
      <c r="E16" s="9">
        <f>D16*Supostos!$B$12</f>
        <v/>
      </c>
    </row>
    <row r="17">
      <c r="A17" s="4" t="inlineStr">
        <is>
          <t>Red Norte</t>
        </is>
      </c>
      <c r="B17" s="27">
        <f>SUMIF(Estabelecimentos!$A$5:$A$29,"Red Norte · centros de saúde",Estabelecimentos!$C$5:$C$29)</f>
        <v/>
      </c>
      <c r="C17" s="8">
        <f>SUMIF(Estabelecimentos!$A$5:$A$29,"Red Norte*",Estabelecimentos!$E$5:$E$29)</f>
        <v/>
      </c>
      <c r="D17" s="8">
        <f>C17*12</f>
        <v/>
      </c>
      <c r="E17" s="9">
        <f>D17*Supostos!$B$12</f>
        <v/>
      </c>
    </row>
    <row r="18">
      <c r="A18" s="4" t="inlineStr">
        <is>
          <t>Red Sur</t>
        </is>
      </c>
      <c r="B18" s="27">
        <f>SUMIF(Estabelecimentos!$A$5:$A$29,"Red Sur · centros de saúde",Estabelecimentos!$C$5:$C$29)</f>
        <v/>
      </c>
      <c r="C18" s="8">
        <f>SUMIF(Estabelecimentos!$A$5:$A$29,"Red Sur*",Estabelecimentos!$E$5:$E$29)</f>
        <v/>
      </c>
      <c r="D18" s="8">
        <f>C18*12</f>
        <v/>
      </c>
      <c r="E18" s="9">
        <f>D18*Supostos!$B$12</f>
        <v/>
      </c>
    </row>
    <row r="19">
      <c r="A19" s="4" t="inlineStr">
        <is>
          <t>Red Este</t>
        </is>
      </c>
      <c r="B19" s="27">
        <f>SUMIF(Estabelecimentos!$A$5:$A$29,"Red Este · centros de saúde",Estabelecimentos!$C$5:$C$29)</f>
        <v/>
      </c>
      <c r="C19" s="8">
        <f>SUMIF(Estabelecimentos!$A$5:$A$29,"Red Este*",Estabelecimentos!$E$5:$E$29)</f>
        <v/>
      </c>
      <c r="D19" s="8">
        <f>C19*12</f>
        <v/>
      </c>
      <c r="E19" s="9">
        <f>D19*Supostos!$B$12</f>
        <v/>
      </c>
    </row>
    <row r="21">
      <c r="A21" s="15" t="inlineStr">
        <is>
          <t>Os hospitais de 2º, 3º e 4º nível não estão divididos por rede: atendem a cidade toda.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0" customWidth="1" min="4" max="4"/>
    <col width="12" customWidth="1" min="5" max="5"/>
    <col width="12" customWidth="1" min="6" max="6"/>
    <col width="18" customWidth="1" min="7" max="7"/>
    <col width="18" customWidth="1" min="8" max="8"/>
  </cols>
  <sheetData>
    <row r="1">
      <c r="A1" s="1" t="inlineStr">
        <is>
          <t>Equipe para atender só Santa Cruz de la Sierra</t>
        </is>
      </c>
    </row>
    <row r="2">
      <c r="A2" s="2" t="inlineStr">
        <is>
          <t>Duas colunas: durante a implantação (primeiros 6 meses) e em operação. Salários em Bs (estimativa de mercado).</t>
        </is>
      </c>
    </row>
    <row r="4" ht="45" customHeight="1">
      <c r="A4" s="3" t="inlineStr">
        <is>
          <t>Cargo</t>
        </is>
      </c>
      <c r="B4" s="3" t="inlineStr">
        <is>
          <t>O que faz</t>
        </is>
      </c>
      <c r="C4" s="3" t="inlineStr">
        <is>
          <t>Salário mensal (Bs)</t>
        </is>
      </c>
      <c r="D4" s="3" t="inlineStr">
        <is>
          <t>Externo? (1=sim)</t>
        </is>
      </c>
      <c r="E4" s="3" t="inlineStr">
        <is>
          <t>Pessoas · implantação</t>
        </is>
      </c>
      <c r="F4" s="3" t="inlineStr">
        <is>
          <t>Pessoas · operação</t>
        </is>
      </c>
      <c r="G4" s="3" t="inlineStr">
        <is>
          <t>Custo mensal · implantação (Bs)</t>
        </is>
      </c>
      <c r="H4" s="3" t="inlineStr">
        <is>
          <t>Custo mensal · operação (Bs)</t>
        </is>
      </c>
    </row>
    <row r="5">
      <c r="A5" s="4" t="inlineStr">
        <is>
          <t>Fundador / diretor geral</t>
        </is>
      </c>
      <c r="B5" s="15" t="inlineStr">
        <is>
          <t>Você: produto, decisões clínicas, contratos com o município e o SEDES.</t>
        </is>
      </c>
      <c r="C5" s="29" t="n">
        <v>12000</v>
      </c>
      <c r="D5" s="30" t="n">
        <v>0</v>
      </c>
      <c r="E5" s="30" t="n">
        <v>1</v>
      </c>
      <c r="F5" s="30" t="n">
        <v>1</v>
      </c>
      <c r="G5" s="9">
        <f>$C5*E5*(1+IF($D5=1,0,Supostos!$B$15))</f>
        <v/>
      </c>
      <c r="H5" s="9">
        <f>$C5*F5*(1+IF($D5=1,0,Supostos!$B$15))</f>
        <v/>
      </c>
    </row>
    <row r="6">
      <c r="A6" s="4" t="inlineStr">
        <is>
          <t>Desenvolvedor full-stack</t>
        </is>
      </c>
      <c r="B6" s="15" t="inlineStr">
        <is>
          <t>Correções, melhorias e novos relatórios.</t>
        </is>
      </c>
      <c r="C6" s="29" t="n">
        <v>9000</v>
      </c>
      <c r="D6" s="30" t="n">
        <v>0</v>
      </c>
      <c r="E6" s="30" t="n">
        <v>1</v>
      </c>
      <c r="F6" s="30" t="n">
        <v>1</v>
      </c>
      <c r="G6" s="9">
        <f>$C6*E6*(1+IF($D6=1,0,Supostos!$B$15))</f>
        <v/>
      </c>
      <c r="H6" s="9">
        <f>$C6*F6*(1+IF($D6=1,0,Supostos!$B$15))</f>
        <v/>
      </c>
    </row>
    <row r="7">
      <c r="A7" s="4" t="inlineStr">
        <is>
          <t>Suporte (mesa de ajuda)</t>
        </is>
      </c>
      <c r="B7" s="15" t="inlineStr">
        <is>
          <t>Atende os centros por telefone e WhatsApp; cria usuários.</t>
        </is>
      </c>
      <c r="C7" s="29" t="n">
        <v>4000</v>
      </c>
      <c r="D7" s="30" t="n">
        <v>0</v>
      </c>
      <c r="E7" s="30" t="n">
        <v>1</v>
      </c>
      <c r="F7" s="30" t="n">
        <v>1</v>
      </c>
      <c r="G7" s="9">
        <f>$C7*E7*(1+IF($D7=1,0,Supostos!$B$15))</f>
        <v/>
      </c>
      <c r="H7" s="9">
        <f>$C7*F7*(1+IF($D7=1,0,Supostos!$B$15))</f>
        <v/>
      </c>
    </row>
    <row r="8">
      <c r="A8" s="4" t="inlineStr">
        <is>
          <t>Implantador / capacitador (profissional de saúde)</t>
        </is>
      </c>
      <c r="B8" s="15" t="inlineStr">
        <is>
          <t>Vai a cada centro e hospital, capacita e acompanha as primeiras semanas.</t>
        </is>
      </c>
      <c r="C8" s="29" t="n">
        <v>6000</v>
      </c>
      <c r="D8" s="30" t="n">
        <v>0</v>
      </c>
      <c r="E8" s="30" t="n">
        <v>3</v>
      </c>
      <c r="F8" s="30" t="n">
        <v>1</v>
      </c>
      <c r="G8" s="9">
        <f>$C8*E8*(1+IF($D8=1,0,Supostos!$B$15))</f>
        <v/>
      </c>
      <c r="H8" s="9">
        <f>$C8*F8*(1+IF($D8=1,0,Supostos!$B$15))</f>
        <v/>
      </c>
    </row>
    <row r="9">
      <c r="A9" s="4" t="inlineStr">
        <is>
          <t>Administrativo e financeiro (meio período)</t>
        </is>
      </c>
      <c r="B9" s="15" t="inlineStr">
        <is>
          <t>Faturas ao município, cobranças, pagamentos.</t>
        </is>
      </c>
      <c r="C9" s="29" t="n">
        <v>2500</v>
      </c>
      <c r="D9" s="30" t="n">
        <v>0</v>
      </c>
      <c r="E9" s="30" t="n">
        <v>1</v>
      </c>
      <c r="F9" s="30" t="n">
        <v>1</v>
      </c>
      <c r="G9" s="9">
        <f>$C9*E9*(1+IF($D9=1,0,Supostos!$B$15))</f>
        <v/>
      </c>
      <c r="H9" s="9">
        <f>$C9*F9*(1+IF($D9=1,0,Supostos!$B$15))</f>
        <v/>
      </c>
    </row>
    <row r="10">
      <c r="A10" s="4" t="inlineStr">
        <is>
          <t>Contador (externo)</t>
        </is>
      </c>
      <c r="B10" s="15" t="inlineStr">
        <is>
          <t>Impostos e balanços.</t>
        </is>
      </c>
      <c r="C10" s="29" t="n">
        <v>2500</v>
      </c>
      <c r="D10" s="30" t="n">
        <v>1</v>
      </c>
      <c r="E10" s="30" t="n">
        <v>1</v>
      </c>
      <c r="F10" s="30" t="n">
        <v>1</v>
      </c>
      <c r="G10" s="9">
        <f>$C10*E10*(1+IF($D10=1,0,Supostos!$B$15))</f>
        <v/>
      </c>
      <c r="H10" s="9">
        <f>$C10*F10*(1+IF($D10=1,0,Supostos!$B$15))</f>
        <v/>
      </c>
    </row>
    <row r="11">
      <c r="A11" s="4" t="inlineStr">
        <is>
          <t>Advogado (externo)</t>
        </is>
      </c>
      <c r="B11" s="15" t="inlineStr">
        <is>
          <t>Contrato com o município, SENAPI, proteção de dados.</t>
        </is>
      </c>
      <c r="C11" s="29" t="n">
        <v>3000</v>
      </c>
      <c r="D11" s="30" t="n">
        <v>1</v>
      </c>
      <c r="E11" s="30" t="n">
        <v>1</v>
      </c>
      <c r="F11" s="30" t="n">
        <v>1</v>
      </c>
      <c r="G11" s="9">
        <f>$C11*E11*(1+IF($D11=1,0,Supostos!$B$15))</f>
        <v/>
      </c>
      <c r="H11" s="9">
        <f>$C11*F11*(1+IF($D11=1,0,Supostos!$B$15))</f>
        <v/>
      </c>
    </row>
    <row r="12">
      <c r="A12" s="16" t="inlineStr">
        <is>
          <t>TOTAL</t>
        </is>
      </c>
      <c r="E12" s="26">
        <f>SUM(E5:E11)</f>
        <v/>
      </c>
      <c r="F12" s="26">
        <f>SUM(F5:F11)</f>
        <v/>
      </c>
      <c r="G12" s="12">
        <f>SUM(G5:G11)</f>
        <v/>
      </c>
      <c r="H12" s="12">
        <f>SUM(H5:H11)</f>
        <v/>
      </c>
    </row>
    <row r="13">
      <c r="A13" s="4" t="inlineStr">
        <is>
          <t>Custo mensal (US$)</t>
        </is>
      </c>
      <c r="G13" s="8">
        <f>G12/Supostos!$B$12</f>
        <v/>
      </c>
      <c r="H13" s="8">
        <f>H12/Supostos!$B$12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32" customWidth="1" min="3" max="3"/>
    <col width="14" customWidth="1" min="4" max="4"/>
  </cols>
  <sheetData>
    <row r="1">
      <c r="A1" s="1" t="inlineStr">
        <is>
          <t>Ferramentas para manter o SIVEC em Santa Cruz de la Sierra</t>
        </is>
      </c>
    </row>
    <row r="2">
      <c r="A2" s="2" t="inlineStr">
        <is>
          <t>US$ por mês. "Por pessoa" usa a equipe de operação.</t>
        </is>
      </c>
    </row>
    <row r="4">
      <c r="A4" s="3" t="inlineStr">
        <is>
          <t>Ferramenta</t>
        </is>
      </c>
      <c r="B4" s="3" t="inlineStr">
        <is>
          <t>Para que serve</t>
        </is>
      </c>
      <c r="C4" s="3" t="inlineStr">
        <is>
          <t>Fornecedor sugerido</t>
        </is>
      </c>
      <c r="D4" s="3" t="inlineStr">
        <is>
          <t>US$/mês</t>
        </is>
      </c>
    </row>
    <row r="5">
      <c r="A5" s="4" t="inlineStr">
        <is>
          <t>Banco de dados, login e backups</t>
        </is>
      </c>
      <c r="B5" s="15" t="inlineStr">
        <is>
          <t>Todos os dados, login e cópias diárias.</t>
        </is>
      </c>
      <c r="C5" s="4" t="inlineStr">
        <is>
          <t>Supabase Pro + computação Large</t>
        </is>
      </c>
      <c r="D5" s="18" t="n">
        <v>135</v>
      </c>
    </row>
    <row r="6">
      <c r="A6" s="4" t="inlineStr">
        <is>
          <t>Hospedagem do aplicativo</t>
        </is>
      </c>
      <c r="B6" s="15" t="inlineStr">
        <is>
          <t>Sistema publicado com endereço próprio.</t>
        </is>
      </c>
      <c r="C6" s="4" t="inlineStr">
        <is>
          <t>Vercel / Cloudflare</t>
        </is>
      </c>
      <c r="D6" s="18" t="n">
        <v>20</v>
      </c>
    </row>
    <row r="7">
      <c r="A7" s="4" t="inlineStr">
        <is>
          <t>Domínio e certificado</t>
        </is>
      </c>
      <c r="B7" s="15" t="inlineStr">
        <is>
          <t>sivec.bo com HTTPS.</t>
        </is>
      </c>
      <c r="C7" s="4" t="inlineStr">
        <is>
          <t>NIC Bolivia + Cloudflare</t>
        </is>
      </c>
      <c r="D7" s="18" t="n">
        <v>3</v>
      </c>
    </row>
    <row r="8">
      <c r="A8" s="4" t="inlineStr">
        <is>
          <t>E-mail transacional</t>
        </is>
      </c>
      <c r="B8" s="15" t="inlineStr">
        <is>
          <t>Senhas e avisos por e-mail.</t>
        </is>
      </c>
      <c r="C8" s="4" t="inlineStr">
        <is>
          <t>Resend / SendGrid</t>
        </is>
      </c>
      <c r="D8" s="18" t="n">
        <v>20</v>
      </c>
    </row>
    <row r="9">
      <c r="A9" s="4" t="inlineStr">
        <is>
          <t>WhatsApp Business API</t>
        </is>
      </c>
      <c r="B9" s="15" t="inlineStr">
        <is>
          <t>Avisos às pacientes (resultado, controle, cita).</t>
        </is>
      </c>
      <c r="C9" s="4" t="inlineStr">
        <is>
          <t>360dialog / Twilio</t>
        </is>
      </c>
      <c r="D9" s="18" t="n">
        <v>150</v>
      </c>
    </row>
    <row r="10">
      <c r="A10" s="4" t="inlineStr">
        <is>
          <t>Monitoramento de erros</t>
        </is>
      </c>
      <c r="B10" s="15" t="inlineStr">
        <is>
          <t>Avisa quando algo falha num centro.</t>
        </is>
      </c>
      <c r="C10" s="4" t="inlineStr">
        <is>
          <t>Sentry</t>
        </is>
      </c>
      <c r="D10" s="18" t="n">
        <v>26</v>
      </c>
    </row>
    <row r="11">
      <c r="A11" s="4" t="inlineStr">
        <is>
          <t>Monitor de disponibilidade</t>
        </is>
      </c>
      <c r="B11" s="15" t="inlineStr">
        <is>
          <t>Alerta se o sistema cair.</t>
        </is>
      </c>
      <c r="C11" s="4" t="inlineStr">
        <is>
          <t>Better Stack / UptimeRobot</t>
        </is>
      </c>
      <c r="D11" s="18" t="n">
        <v>25</v>
      </c>
    </row>
    <row r="12">
      <c r="A12" s="4" t="inlineStr">
        <is>
          <t>Backup externo</t>
        </is>
      </c>
      <c r="B12" s="15" t="inlineStr">
        <is>
          <t>Segunda cópia fora do Supabase.</t>
        </is>
      </c>
      <c r="C12" s="4" t="inlineStr">
        <is>
          <t>Backblaze B2</t>
        </is>
      </c>
      <c r="D12" s="18" t="n">
        <v>20</v>
      </c>
    </row>
    <row r="13">
      <c r="A13" s="4" t="inlineStr">
        <is>
          <t>Teste de segurança (anual ÷ 12)</t>
        </is>
      </c>
      <c r="B13" s="15" t="inlineStr">
        <is>
          <t>Auditoria de segurança externa.</t>
        </is>
      </c>
      <c r="C13" s="4" t="inlineStr">
        <is>
          <t>Empresa de segurança</t>
        </is>
      </c>
      <c r="D13" s="18" t="n">
        <v>300</v>
      </c>
    </row>
    <row r="14">
      <c r="A14" s="4" t="inlineStr">
        <is>
          <t>Seguro de responsabilidade</t>
        </is>
      </c>
      <c r="B14" s="15" t="inlineStr">
        <is>
          <t>Falhas e vazamento de dados.</t>
        </is>
      </c>
      <c r="C14" s="4" t="inlineStr">
        <is>
          <t>Seguradora local</t>
        </is>
      </c>
      <c r="D14" s="18" t="n">
        <v>100</v>
      </c>
    </row>
    <row r="15">
      <c r="A15" s="4" t="inlineStr">
        <is>
          <t>Escritório e internet</t>
        </is>
      </c>
      <c r="B15" s="15" t="inlineStr">
        <is>
          <t>Espaço da equipe.</t>
        </is>
      </c>
      <c r="C15" s="4" t="inlineStr">
        <is>
          <t>—</t>
        </is>
      </c>
      <c r="D15" s="18" t="n">
        <v>300</v>
      </c>
    </row>
    <row r="16">
      <c r="A16" s="4" t="inlineStr">
        <is>
          <t>Transporte para os centros</t>
        </is>
      </c>
      <c r="B16" s="15" t="inlineStr">
        <is>
          <t>Deslocamento de capacitação e suporte.</t>
        </is>
      </c>
      <c r="C16" s="4" t="inlineStr">
        <is>
          <t>—</t>
        </is>
      </c>
      <c r="D16" s="18" t="n">
        <v>150</v>
      </c>
    </row>
    <row r="17">
      <c r="A17" s="4" t="inlineStr">
        <is>
          <t>E-mail e documentos da equipe</t>
        </is>
      </c>
      <c r="B17" s="15" t="inlineStr">
        <is>
          <t>US$ 7 por pessoa</t>
        </is>
      </c>
      <c r="C17" s="4" t="inlineStr">
        <is>
          <t>Google Workspace</t>
        </is>
      </c>
      <c r="D17" s="6">
        <f>7*Equipe!F12</f>
        <v/>
      </c>
    </row>
    <row r="18">
      <c r="A18" s="4" t="inlineStr">
        <is>
          <t>Central de atendimento</t>
        </is>
      </c>
      <c r="B18" s="15" t="inlineStr">
        <is>
          <t>US$ 15 por pessoa</t>
        </is>
      </c>
      <c r="C18" s="4" t="inlineStr">
        <is>
          <t>Freshdesk</t>
        </is>
      </c>
      <c r="D18" s="6">
        <f>15*Equipe!F12</f>
        <v/>
      </c>
    </row>
    <row r="19">
      <c r="A19" s="4" t="inlineStr">
        <is>
          <t>Código (GitHub Team)</t>
        </is>
      </c>
      <c r="B19" s="15" t="inlineStr">
        <is>
          <t>US$ 4 por pessoa</t>
        </is>
      </c>
      <c r="C19" s="4" t="inlineStr">
        <is>
          <t>GitHub</t>
        </is>
      </c>
      <c r="D19" s="6">
        <f>4*Equipe!F12</f>
        <v/>
      </c>
    </row>
    <row r="20">
      <c r="A20" s="4" t="inlineStr">
        <is>
          <t>Gerenciador de senhas</t>
        </is>
      </c>
      <c r="B20" s="15" t="inlineStr">
        <is>
          <t>US$ 4 por pessoa</t>
        </is>
      </c>
      <c r="C20" s="4" t="inlineStr">
        <is>
          <t>Bitwarden</t>
        </is>
      </c>
      <c r="D20" s="6">
        <f>4*Equipe!F12</f>
        <v/>
      </c>
    </row>
    <row r="21">
      <c r="A21" s="4" t="inlineStr">
        <is>
          <t>Notebooks (amortizados em 36 meses)</t>
        </is>
      </c>
      <c r="B21" s="15" t="inlineStr">
        <is>
          <t>US$ 28 por pessoa</t>
        </is>
      </c>
      <c r="C21" s="4" t="inlineStr">
        <is>
          <t>—</t>
        </is>
      </c>
      <c r="D21" s="6">
        <f>28*Equipe!F12</f>
        <v/>
      </c>
    </row>
    <row r="22">
      <c r="A22" s="16" t="inlineStr">
        <is>
          <t>TOTAL (US$/mês)</t>
        </is>
      </c>
      <c r="D22" s="11">
        <f>SUM(D5:D21)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2026-09-26T16:03:13Z</dcterms:created>
  <dcterms:modified xsi:type="dcterms:W3CDTF">2026-09-26T16:03:13Z</dcterms:modified>
</cp:coreProperties>
</file>