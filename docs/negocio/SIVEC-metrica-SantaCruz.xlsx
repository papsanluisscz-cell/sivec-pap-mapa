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  <sheet xmlns:r="http://schemas.openxmlformats.org/officeDocument/2006/relationships" name="Supostos" sheetId="2" state="visible" r:id="rId2"/>
    <sheet xmlns:r="http://schemas.openxmlformats.org/officeDocument/2006/relationships" name="Estabelecimentos" sheetId="3" state="visible" r:id="rId3"/>
    <sheet xmlns:r="http://schemas.openxmlformats.org/officeDocument/2006/relationships" name="Equipe" sheetId="4" state="visible" r:id="rId4"/>
    <sheet xmlns:r="http://schemas.openxmlformats.org/officeDocument/2006/relationships" name="Gastos" sheetId="5" state="visible" r:id="rId5"/>
    <sheet xmlns:r="http://schemas.openxmlformats.org/officeDocument/2006/relationships" name="Ferramentas" sheetId="6" state="visible" r:id="rId6"/>
    <sheet xmlns:r="http://schemas.openxmlformats.org/officeDocument/2006/relationships" name="Papel vs SIVEC" sheetId="7" state="visible" r:id="rId7"/>
    <sheet xmlns:r="http://schemas.openxmlformats.org/officeDocument/2006/relationships" name="Vidas e impacto" sheetId="8" state="visible" r:id="rId8"/>
    <sheet xmlns:r="http://schemas.openxmlformats.org/officeDocument/2006/relationships" name="Fo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;(#,##0);-"/>
    <numFmt numFmtId="165" formatCode="$#,##0;($#,##0);-"/>
    <numFmt numFmtId="166" formatCode="&quot;Bs &quot;#,##0;(&quot;Bs &quot;#,##0);-"/>
    <numFmt numFmtId="167" formatCode="0.0%;(0.0%);-"/>
    <numFmt numFmtId="168" formatCode="#,##0.0;(#,##0.0);-"/>
    <numFmt numFmtId="169" formatCode="&quot;Bs &quot;0.00"/>
    <numFmt numFmtId="170" formatCode="&quot;Bs &quot;#,##0.0"/>
    <numFmt numFmtId="171" formatCode="0.0&quot;x&quot;"/>
  </numFmts>
  <fonts count="13">
    <font>
      <name val="Calibri"/>
      <family val="2"/>
      <color theme="1"/>
      <sz val="11"/>
      <scheme val="minor"/>
    </font>
    <font>
      <name val="Arial"/>
      <b val="1"/>
      <color rgb="007D2A4C"/>
      <sz val="14"/>
    </font>
    <font>
      <name val="Arial"/>
      <i val="1"/>
      <color rgb="006B5A62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008000"/>
    </font>
    <font>
      <name val="Arial"/>
      <b val="1"/>
    </font>
    <font>
      <name val="Arial"/>
      <b val="1"/>
      <color rgb="00000000"/>
    </font>
    <font>
      <name val="Arial"/>
      <b val="1"/>
      <color rgb="007D2A4C"/>
    </font>
    <font>
      <name val="Arial"/>
      <color rgb="00000000"/>
    </font>
    <font>
      <name val="Arial"/>
      <color rgb="004A3A42"/>
    </font>
    <font>
      <name val="Arial"/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7D2A4C"/>
      </patternFill>
    </fill>
    <fill>
      <patternFill patternType="solid">
        <fgColor rgb="00FFFF00"/>
      </patternFill>
    </fill>
    <fill>
      <patternFill patternType="solid">
        <fgColor rgb="00F5E9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7" fillId="0" borderId="0" pivotButton="0" quotePrefix="0" xfId="0"/>
    <xf numFmtId="166" fontId="8" fillId="0" borderId="0" pivotButton="0" quotePrefix="0" xfId="0"/>
    <xf numFmtId="166" fontId="10" fillId="0" borderId="0" pivotButton="0" quotePrefix="0" xfId="0"/>
    <xf numFmtId="166" fontId="6" fillId="0" borderId="0" pivotButton="0" quotePrefix="0" xfId="0"/>
    <xf numFmtId="0" fontId="7" fillId="4" borderId="0" pivotButton="0" quotePrefix="0" xfId="0"/>
    <xf numFmtId="166" fontId="8" fillId="4" borderId="0" pivotButton="0" quotePrefix="0" xfId="0"/>
    <xf numFmtId="165" fontId="10" fillId="0" borderId="0" pivotButton="0" quotePrefix="0" xfId="0"/>
    <xf numFmtId="167" fontId="1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165" fontId="5" fillId="0" borderId="0" pivotButton="0" quotePrefix="0" xfId="0"/>
    <xf numFmtId="2" fontId="5" fillId="0" borderId="0" pivotButton="0" quotePrefix="0" xfId="0"/>
    <xf numFmtId="167" fontId="5" fillId="0" borderId="0" pivotButton="0" quotePrefix="0" xfId="0"/>
    <xf numFmtId="167" fontId="5" fillId="3" borderId="0" pivotButton="0" quotePrefix="0" xfId="0"/>
    <xf numFmtId="1" fontId="5" fillId="3" borderId="0" pivotButton="0" quotePrefix="0" xfId="0"/>
    <xf numFmtId="165" fontId="5" fillId="3" borderId="0" pivotButton="0" quotePrefix="0" xfId="0"/>
    <xf numFmtId="164" fontId="5" fillId="0" borderId="0" pivotButton="0" quotePrefix="0" xfId="0"/>
    <xf numFmtId="164" fontId="5" fillId="3" borderId="0" pivotButton="0" quotePrefix="0" xfId="0"/>
    <xf numFmtId="0" fontId="0" fillId="4" borderId="0" pivotButton="0" quotePrefix="0" xfId="0"/>
    <xf numFmtId="164" fontId="8" fillId="4" borderId="0" pivotButton="0" quotePrefix="0" xfId="0"/>
    <xf numFmtId="165" fontId="8" fillId="0" borderId="0" pivotButton="0" quotePrefix="0" xfId="0"/>
    <xf numFmtId="0" fontId="2" fillId="0" borderId="0" applyAlignment="1" pivotButton="0" quotePrefix="0" xfId="0">
      <alignment vertical="top" wrapText="1"/>
    </xf>
    <xf numFmtId="166" fontId="5" fillId="3" borderId="0" pivotButton="0" quotePrefix="0" xfId="0"/>
    <xf numFmtId="1" fontId="5" fillId="0" borderId="0" pivotButton="0" quotePrefix="0" xfId="0"/>
    <xf numFmtId="164" fontId="10" fillId="0" borderId="0" pivotButton="0" quotePrefix="0" xfId="0"/>
    <xf numFmtId="166" fontId="5" fillId="0" borderId="0" pivotButton="0" quotePrefix="0" xfId="0"/>
    <xf numFmtId="165" fontId="8" fillId="4" borderId="0" pivotButton="0" quotePrefix="0" xfId="0"/>
    <xf numFmtId="168" fontId="5" fillId="3" borderId="0" pivotButton="0" quotePrefix="0" xfId="0"/>
    <xf numFmtId="169" fontId="5" fillId="3" borderId="0" pivotButton="0" quotePrefix="0" xfId="0"/>
    <xf numFmtId="170" fontId="10" fillId="0" borderId="0" pivotButton="0" quotePrefix="0" xfId="0"/>
    <xf numFmtId="168" fontId="10" fillId="0" borderId="0" pivotButton="0" quotePrefix="0" xfId="0"/>
    <xf numFmtId="0" fontId="4" fillId="4" borderId="0" pivotButton="0" quotePrefix="0" xfId="0"/>
    <xf numFmtId="166" fontId="10" fillId="4" borderId="0" pivotButton="0" quotePrefix="0" xfId="0"/>
    <xf numFmtId="0" fontId="2" fillId="4" borderId="0" pivotButton="0" quotePrefix="0" xfId="0"/>
    <xf numFmtId="168" fontId="8" fillId="4" borderId="0" pivotButton="0" quotePrefix="0" xfId="0"/>
    <xf numFmtId="171" fontId="10" fillId="0" borderId="0" pivotButton="0" quotePrefix="0" xfId="0"/>
    <xf numFmtId="0" fontId="12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8" fillId="0" borderId="0" pivotButton="0" quotePrefix="0" xfId="0"/>
    <xf numFmtId="166" fontId="10" fillId="0" borderId="0" pivotButton="0" quotePrefix="0" xfId="0"/>
    <xf numFmtId="166" fontId="6" fillId="0" borderId="0" pivotButton="0" quotePrefix="0" xfId="0"/>
    <xf numFmtId="166" fontId="8" fillId="4" borderId="0" pivotButton="0" quotePrefix="0" xfId="0"/>
    <xf numFmtId="165" fontId="10" fillId="0" borderId="0" pivotButton="0" quotePrefix="0" xfId="0"/>
    <xf numFmtId="167" fontId="10" fillId="0" borderId="0" pivotButton="0" quotePrefix="0" xfId="0"/>
    <xf numFmtId="165" fontId="5" fillId="0" borderId="0" pivotButton="0" quotePrefix="0" xfId="0"/>
    <xf numFmtId="167" fontId="5" fillId="0" borderId="0" pivotButton="0" quotePrefix="0" xfId="0"/>
    <xf numFmtId="167" fontId="5" fillId="3" borderId="0" pivotButton="0" quotePrefix="0" xfId="0"/>
    <xf numFmtId="165" fontId="5" fillId="3" borderId="0" pivotButton="0" quotePrefix="0" xfId="0"/>
    <xf numFmtId="164" fontId="5" fillId="0" borderId="0" pivotButton="0" quotePrefix="0" xfId="0"/>
    <xf numFmtId="164" fontId="5" fillId="3" borderId="0" pivotButton="0" quotePrefix="0" xfId="0"/>
    <xf numFmtId="164" fontId="8" fillId="4" borderId="0" pivotButton="0" quotePrefix="0" xfId="0"/>
    <xf numFmtId="165" fontId="8" fillId="0" borderId="0" pivotButton="0" quotePrefix="0" xfId="0"/>
    <xf numFmtId="166" fontId="5" fillId="3" borderId="0" pivotButton="0" quotePrefix="0" xfId="0"/>
    <xf numFmtId="164" fontId="10" fillId="0" borderId="0" pivotButton="0" quotePrefix="0" xfId="0"/>
    <xf numFmtId="166" fontId="5" fillId="0" borderId="0" pivotButton="0" quotePrefix="0" xfId="0"/>
    <xf numFmtId="165" fontId="8" fillId="4" borderId="0" pivotButton="0" quotePrefix="0" xfId="0"/>
    <xf numFmtId="166" fontId="1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SIVEC</author>
  </authors>
  <commentList>
    <comment ref="B23" authorId="0" shapeId="0">
      <text>
        <t>Custos de equipe + gastos fixos × meses que o Estado demora para pagar (Supostos).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aacrjournals.org/cancerrescommun/article/5/12/2236/771224/Cancer-Incidence-and-Mortality-Estimates-in-Latin" TargetMode="External" Id="rId1"/><Relationship Type="http://schemas.openxmlformats.org/officeDocument/2006/relationships/hyperlink" Target="https://www.minsalud.gob.bo/8548-por-la-vida-de-las-mujeres-gobierno-fortalece-la-prevencion-y-atencion-del-cancer-cervico-uterino-con-servicios-gratuitos-en-todo-el-pais" TargetMode="External" Id="rId2"/><Relationship Type="http://schemas.openxmlformats.org/officeDocument/2006/relationships/hyperlink" Target="https://www.minsalud.gob.bo/8626-cancer-el-sus-convirtio-los-tratamientos-de-quimioterapia-y-radioterapia-de-bs-50-000-a-gratuitas" TargetMode="External" Id="rId3"/><Relationship Type="http://schemas.openxmlformats.org/officeDocument/2006/relationships/hyperlink" Target="https://www.defensoria.gob.bo/uploads/files/informe-cancer-cervico-uterino-y-de-mama.pdf" TargetMode="External" Id="rId4"/><Relationship Type="http://schemas.openxmlformats.org/officeDocument/2006/relationships/hyperlink" Target="https://www.paho.org/es/noticias/6-11-2025-futuro-sin-cancer-cuello-uterino-bolivia-presenta-su-plan-para-acelerar" TargetMode="External" Id="rId5"/><Relationship Type="http://schemas.openxmlformats.org/officeDocument/2006/relationships/hyperlink" Target="https://pubmed.ncbi.nlm.nih.gov/24192252/" TargetMode="External" Id="rId6"/><Relationship Type="http://schemas.openxmlformats.org/officeDocument/2006/relationships/hyperlink" Target="https://www.nature.com/articles/s41591-022-02109-2" TargetMode="External" Id="rId7"/><Relationship Type="http://schemas.openxmlformats.org/officeDocument/2006/relationships/hyperlink" Target="https://www.cambridge.org/core/journals/journal-of-benefit-cost-analysis/article/valuing-mortality-risk-reductions-in-global-benefitcost-analysis/71252D2A48B3F2402DF209550C1945FA" TargetMode="External" Id="rId8"/><Relationship Type="http://schemas.openxmlformats.org/officeDocument/2006/relationships/hyperlink" Target="https://link.springer.com/article/10.1186/s12913-021-06652-5" TargetMode="External" Id="rId9"/><Relationship Type="http://schemas.openxmlformats.org/officeDocument/2006/relationships/hyperlink" Target="https://data.worldbank.org/indicator/NY.GNP.PCAP.CD?locations=BO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SIVEC · quanto entra, quanto custa e quanto sobra por mês</t>
        </is>
      </c>
    </row>
    <row r="2">
      <c r="A2" s="2" t="inlineStr">
        <is>
          <t>Quatro cenários lado a lado. Tudo vem das outras abas; mude lá.</t>
        </is>
      </c>
    </row>
    <row r="4" ht="32" customHeight="1">
      <c r="A4" s="3" t="inlineStr">
        <is>
          <t>Linha</t>
        </is>
      </c>
      <c r="B4" s="4" t="inlineStr">
        <is>
          <t>Red Centro (só o exemplo)</t>
        </is>
      </c>
      <c r="C4" s="4" t="inlineStr">
        <is>
          <t>Município · equipe enxuta</t>
        </is>
      </c>
      <c r="D4" s="4" t="inlineStr">
        <is>
          <t>Município · equipe completa</t>
        </is>
      </c>
      <c r="E4" s="4" t="inlineStr">
        <is>
          <t>Município + províncias</t>
        </is>
      </c>
    </row>
    <row r="5">
      <c r="A5" s="5" t="inlineStr">
        <is>
          <t>Estabelecimentos cobrados</t>
        </is>
      </c>
      <c r="B5" s="45">
        <f>Estabelecimentos!D12</f>
        <v/>
      </c>
      <c r="C5" s="45">
        <f>Estabelecimentos!E12</f>
        <v/>
      </c>
      <c r="D5" s="45">
        <f>Estabelecimentos!E12</f>
        <v/>
      </c>
      <c r="E5" s="45">
        <f>Estabelecimentos!F12</f>
        <v/>
      </c>
    </row>
    <row r="6">
      <c r="A6" s="5" t="inlineStr">
        <is>
          <t>Mensalidades (US$/mês)</t>
        </is>
      </c>
      <c r="B6" s="46">
        <f>Estabelecimentos!D13</f>
        <v/>
      </c>
      <c r="C6" s="46">
        <f>Estabelecimentos!E13</f>
        <v/>
      </c>
      <c r="D6" s="46">
        <f>Estabelecimentos!E13</f>
        <v/>
      </c>
      <c r="E6" s="46">
        <f>Estabelecimentos!F13</f>
        <v/>
      </c>
    </row>
    <row r="7">
      <c r="A7" s="8" t="inlineStr">
        <is>
          <t>Faturamento (Bs/mês)</t>
        </is>
      </c>
      <c r="B7" s="47">
        <f>B6*Supostos!$B$12</f>
        <v/>
      </c>
      <c r="C7" s="47">
        <f>C6*Supostos!$B$12</f>
        <v/>
      </c>
      <c r="D7" s="47">
        <f>D6*Supostos!$B$12</f>
        <v/>
      </c>
      <c r="E7" s="47">
        <f>E6*Supostos!$B$12</f>
        <v/>
      </c>
    </row>
    <row r="8">
      <c r="A8" s="5" t="inlineStr">
        <is>
          <t>(−) Impostos sobre o faturamento</t>
        </is>
      </c>
      <c r="B8" s="48">
        <f>-B7*Supostos!$B$13</f>
        <v/>
      </c>
      <c r="C8" s="48">
        <f>-C7*Supostos!$B$13</f>
        <v/>
      </c>
      <c r="D8" s="48">
        <f>-D7*Supostos!$B$13</f>
        <v/>
      </c>
      <c r="E8" s="48">
        <f>-E7*Supostos!$B$13</f>
        <v/>
      </c>
    </row>
    <row r="9">
      <c r="A9" s="8" t="inlineStr">
        <is>
          <t>Receita líquida</t>
        </is>
      </c>
      <c r="B9" s="47">
        <f>B7+B8</f>
        <v/>
      </c>
      <c r="C9" s="47">
        <f>C7+C8</f>
        <v/>
      </c>
      <c r="D9" s="47">
        <f>D7+D8</f>
        <v/>
      </c>
      <c r="E9" s="47">
        <f>E7+E8</f>
        <v/>
      </c>
    </row>
    <row r="10">
      <c r="A10" s="5" t="inlineStr">
        <is>
          <t>(−) Equipe (salários + encargos + externos)</t>
        </is>
      </c>
      <c r="B10" s="49">
        <f>-Equipe!I13</f>
        <v/>
      </c>
      <c r="C10" s="49">
        <f>-Equipe!J13</f>
        <v/>
      </c>
      <c r="D10" s="49">
        <f>-Equipe!K13</f>
        <v/>
      </c>
      <c r="E10" s="49">
        <f>-Equipe!L13</f>
        <v/>
      </c>
    </row>
    <row r="11">
      <c r="A11" s="5" t="inlineStr">
        <is>
          <t>(−) Gastos fixos (aluguel, transporte, ferramentas…)</t>
        </is>
      </c>
      <c r="B11" s="49">
        <f>-Gastos!B13</f>
        <v/>
      </c>
      <c r="C11" s="49">
        <f>-Gastos!C13</f>
        <v/>
      </c>
      <c r="D11" s="49">
        <f>-Gastos!D13</f>
        <v/>
      </c>
      <c r="E11" s="49">
        <f>-Gastos!E13</f>
        <v/>
      </c>
    </row>
    <row r="12">
      <c r="A12" s="8" t="inlineStr">
        <is>
          <t>Resultado antes do IUE</t>
        </is>
      </c>
      <c r="B12" s="47">
        <f>B9+B10+B11</f>
        <v/>
      </c>
      <c r="C12" s="47">
        <f>C9+C10+C11</f>
        <v/>
      </c>
      <c r="D12" s="47">
        <f>D9+D10+D11</f>
        <v/>
      </c>
      <c r="E12" s="47">
        <f>E9+E10+E11</f>
        <v/>
      </c>
    </row>
    <row r="13">
      <c r="A13" s="5" t="inlineStr">
        <is>
          <t>(−) IUE</t>
        </is>
      </c>
      <c r="B13" s="48">
        <f>-MAX(0,B12)*Supostos!$B$14</f>
        <v/>
      </c>
      <c r="C13" s="48">
        <f>-MAX(0,C12)*Supostos!$B$14</f>
        <v/>
      </c>
      <c r="D13" s="48">
        <f>-MAX(0,D12)*Supostos!$B$14</f>
        <v/>
      </c>
      <c r="E13" s="48">
        <f>-MAX(0,E12)*Supostos!$B$14</f>
        <v/>
      </c>
    </row>
    <row r="14">
      <c r="A14" s="12" t="inlineStr">
        <is>
          <t>LUCRO LÍQUIDO DA EMPRESA (Bs/mês)</t>
        </is>
      </c>
      <c r="B14" s="50">
        <f>B12+B13</f>
        <v/>
      </c>
      <c r="C14" s="50">
        <f>C12+C13</f>
        <v/>
      </c>
      <c r="D14" s="50">
        <f>D12+D13</f>
        <v/>
      </c>
      <c r="E14" s="50">
        <f>E12+E13</f>
        <v/>
      </c>
    </row>
    <row r="15">
      <c r="A15" s="5" t="inlineStr">
        <is>
          <t>Lucro líquido (US$/mês)</t>
        </is>
      </c>
      <c r="B15" s="51">
        <f>B14/Supostos!$B$12</f>
        <v/>
      </c>
      <c r="C15" s="51">
        <f>C14/Supostos!$B$12</f>
        <v/>
      </c>
      <c r="D15" s="51">
        <f>D14/Supostos!$B$12</f>
        <v/>
      </c>
      <c r="E15" s="51">
        <f>E14/Supostos!$B$12</f>
        <v/>
      </c>
    </row>
    <row r="16">
      <c r="A16" s="5" t="inlineStr">
        <is>
          <t>Margem líquida</t>
        </is>
      </c>
      <c r="B16" s="52">
        <f>IFERROR(B14/B7,0)</f>
        <v/>
      </c>
      <c r="C16" s="52">
        <f>IFERROR(C14/C7,0)</f>
        <v/>
      </c>
      <c r="D16" s="52">
        <f>IFERROR(D14/D7,0)</f>
        <v/>
      </c>
      <c r="E16" s="52">
        <f>IFERROR(E14/E7,0)</f>
        <v/>
      </c>
    </row>
    <row r="17">
      <c r="A17" s="5" t="inlineStr">
        <is>
          <t>Seu salário de diretor (Bs/mês)</t>
        </is>
      </c>
      <c r="B17" s="49">
        <f>Equipe!$C$5*Equipe!E5</f>
        <v/>
      </c>
      <c r="C17" s="49">
        <f>Equipe!$C$5*Equipe!F5</f>
        <v/>
      </c>
      <c r="D17" s="49">
        <f>Equipe!$C$5*Equipe!G5</f>
        <v/>
      </c>
      <c r="E17" s="49">
        <f>Equipe!$C$5*Equipe!H5</f>
        <v/>
      </c>
    </row>
    <row r="18">
      <c r="A18" s="12" t="inlineStr">
        <is>
          <t>Você recebe no total (salário + lucro, Bs/mês)</t>
        </is>
      </c>
      <c r="B18" s="50">
        <f>B17+B14</f>
        <v/>
      </c>
      <c r="C18" s="50">
        <f>C17+C14</f>
        <v/>
      </c>
      <c r="D18" s="50">
        <f>D17+D14</f>
        <v/>
      </c>
      <c r="E18" s="50">
        <f>E17+E14</f>
        <v/>
      </c>
    </row>
    <row r="19">
      <c r="A19" s="5" t="inlineStr">
        <is>
          <t>Pessoas contratadas</t>
        </is>
      </c>
      <c r="B19" s="45">
        <f>Equipe!E14</f>
        <v/>
      </c>
      <c r="C19" s="45">
        <f>Equipe!F14</f>
        <v/>
      </c>
      <c r="D19" s="45">
        <f>Equipe!G14</f>
        <v/>
      </c>
      <c r="E19" s="45">
        <f>Equipe!H14</f>
        <v/>
      </c>
    </row>
    <row r="20">
      <c r="A20" s="5" t="inlineStr">
        <is>
          <t>Lucro líquido por ano (Bs)</t>
        </is>
      </c>
      <c r="B20" s="48">
        <f>B14*12</f>
        <v/>
      </c>
      <c r="C20" s="48">
        <f>C14*12</f>
        <v/>
      </c>
      <c r="D20" s="48">
        <f>D14*12</f>
        <v/>
      </c>
      <c r="E20" s="48">
        <f>E14*12</f>
        <v/>
      </c>
    </row>
    <row r="21">
      <c r="A21" s="5" t="inlineStr">
        <is>
          <t>Implantação (US$, uma vez)</t>
        </is>
      </c>
      <c r="B21" s="46">
        <f>Estabelecimentos!D14</f>
        <v/>
      </c>
      <c r="C21" s="46">
        <f>Estabelecimentos!E14</f>
        <v/>
      </c>
      <c r="D21" s="46">
        <f>Estabelecimentos!E14</f>
        <v/>
      </c>
      <c r="E21" s="46">
        <f>Estabelecimentos!F14</f>
        <v/>
      </c>
    </row>
    <row r="22">
      <c r="A22" s="5" t="inlineStr">
        <is>
          <t>Implantação líquida de impostos (Bs)</t>
        </is>
      </c>
      <c r="B22" s="48">
        <f>B21*Supostos!$B$12*(1-Supostos!$B$13)</f>
        <v/>
      </c>
      <c r="C22" s="48">
        <f>C21*Supostos!$B$12*(1-Supostos!$B$13)</f>
        <v/>
      </c>
      <c r="D22" s="48">
        <f>D21*Supostos!$B$12*(1-Supostos!$B$13)</f>
        <v/>
      </c>
      <c r="E22" s="48">
        <f>E21*Supostos!$B$12*(1-Supostos!$B$13)</f>
        <v/>
      </c>
    </row>
    <row r="23">
      <c r="A23" s="8" t="inlineStr">
        <is>
          <t>Caixa necessário antes de começar (Bs)</t>
        </is>
      </c>
      <c r="B23" s="47">
        <f>(-B10-B11)*Supostos!$B$16</f>
        <v/>
      </c>
      <c r="C23" s="47">
        <f>(-C10-C11)*Supostos!$B$16</f>
        <v/>
      </c>
      <c r="D23" s="47">
        <f>(-D10-D11)*Supostos!$B$16</f>
        <v/>
      </c>
      <c r="E23" s="47">
        <f>(-E10-E11)*Supostos!$B$16</f>
        <v/>
      </c>
    </row>
    <row r="26">
      <c r="A26" s="16" t="inlineStr">
        <is>
          <t>Como ler</t>
        </is>
      </c>
    </row>
    <row r="27">
      <c r="A27" s="17" t="inlineStr">
        <is>
          <t>• Red Centro: renda extra enquanto você segue como médico; ainda não paga equipe nem escritório. Serve de vitrine.</t>
        </is>
      </c>
    </row>
    <row r="28">
      <c r="A28" s="17" t="inlineStr">
        <is>
          <t>• Município · equipe enxuta: a recomendação para começar (4 pessoas + contador e advogado externos).</t>
        </is>
      </c>
    </row>
    <row r="29">
      <c r="A29" s="17" t="inlineStr">
        <is>
          <t>• Município · equipe completa: 5 pessoas; o lucro cai muito. Só vale quando entrarem as províncias.</t>
        </is>
      </c>
    </row>
    <row r="30">
      <c r="A30" s="17" t="inlineStr">
        <is>
          <t>• Município + províncias: +100 centros e +10 hospitais de 2º nível (estimativa); +1 mesa de ajuda e +1 implantador.</t>
        </is>
      </c>
    </row>
    <row r="31">
      <c r="A31" s="17" t="inlineStr">
        <is>
          <t>• Os salários e gastos são estimativas de mercado: confirme com o contador antes de assinar.</t>
        </is>
      </c>
    </row>
    <row r="32">
      <c r="A32" s="17" t="inlineStr">
        <is>
          <t>• "Caixa necessário": o Estado costuma pagar com 60–90 dias de atraso; é o dinheiro que precisa existir antes.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95" customWidth="1" min="3" max="3"/>
  </cols>
  <sheetData>
    <row r="1">
      <c r="A1" s="1" t="inlineStr">
        <is>
          <t>SIVEC · Supostos (mude aqui; o resto recalcula)</t>
        </is>
      </c>
    </row>
    <row r="2">
      <c r="A2" s="2" t="inlineStr">
        <is>
          <t>Azul = você pode mudar. Amarelo = estimativa a confirmar. Preços definidos pelo autor em 27/09/2026.</t>
        </is>
      </c>
    </row>
    <row r="4" ht="32" customHeight="1">
      <c r="A4" s="3" t="inlineStr">
        <is>
          <t>Suposto</t>
        </is>
      </c>
      <c r="B4" s="4" t="inlineStr">
        <is>
          <t>Valor</t>
        </is>
      </c>
      <c r="C4" s="4" t="inlineStr">
        <is>
          <t>Observação</t>
        </is>
      </c>
    </row>
    <row r="5">
      <c r="A5" s="5" t="inlineStr">
        <is>
          <t>Mensalidade · 1º nível sem colposcopia (US$)</t>
        </is>
      </c>
      <c r="B5" s="53" t="n">
        <v>100</v>
      </c>
      <c r="C5" s="2" t="inlineStr">
        <is>
          <t>Definido pelo autor.</t>
        </is>
      </c>
    </row>
    <row r="6">
      <c r="A6" s="5" t="inlineStr">
        <is>
          <t>Mensalidade · 1º nível com colposcopia e biópsia (US$)</t>
        </is>
      </c>
      <c r="B6" s="53" t="n">
        <v>250</v>
      </c>
      <c r="C6" s="2" t="inlineStr">
        <is>
          <t>Definido pelo autor.</t>
        </is>
      </c>
    </row>
    <row r="7">
      <c r="A7" s="5" t="inlineStr">
        <is>
          <t>Mensalidade · hospital de 2º nível (US$)</t>
        </is>
      </c>
      <c r="B7" s="53" t="n">
        <v>250</v>
      </c>
      <c r="C7" s="2" t="inlineStr">
        <is>
          <t>Definido pelo autor.</t>
        </is>
      </c>
    </row>
    <row r="8">
      <c r="A8" s="5" t="inlineStr">
        <is>
          <t>Mensalidade · 3º e 4º nível e laboratórios de PAP/VPH (US$)</t>
        </is>
      </c>
      <c r="B8" s="53" t="n">
        <v>501</v>
      </c>
      <c r="C8" s="2" t="inlineStr">
        <is>
          <t>Definido pelo autor.</t>
        </is>
      </c>
    </row>
    <row r="9">
      <c r="A9" s="5" t="inlineStr">
        <is>
          <t>Implantação única · 1º nível (US$)</t>
        </is>
      </c>
      <c r="B9" s="53" t="n">
        <v>200</v>
      </c>
      <c r="C9" s="2" t="inlineStr">
        <is>
          <t>Definido pelo autor (vale para 1º nível com ou sem colposcopia).</t>
        </is>
      </c>
    </row>
    <row r="10">
      <c r="A10" s="5" t="inlineStr">
        <is>
          <t>Implantação única · 2º nível (US$)</t>
        </is>
      </c>
      <c r="B10" s="53" t="n">
        <v>500</v>
      </c>
      <c r="C10" s="2" t="inlineStr">
        <is>
          <t>Definido pelo autor.</t>
        </is>
      </c>
    </row>
    <row r="11">
      <c r="A11" s="5" t="inlineStr">
        <is>
          <t>Implantação única · 3º e 4º nível e laboratórios (US$)</t>
        </is>
      </c>
      <c r="B11" s="53" t="n">
        <v>550</v>
      </c>
      <c r="C11" s="2" t="inlineStr">
        <is>
          <t>Definido pelo autor.</t>
        </is>
      </c>
    </row>
    <row r="12">
      <c r="A12" s="5" t="inlineStr">
        <is>
          <t>Câmbio (Bs por US$)</t>
        </is>
      </c>
      <c r="B12" s="19" t="n">
        <v>6.96</v>
      </c>
      <c r="C12" s="2" t="inlineStr">
        <is>
          <t>Câmbio oficial.</t>
        </is>
      </c>
    </row>
    <row r="13">
      <c r="A13" s="5" t="inlineStr">
        <is>
          <t>Impostos sobre o faturamento (IVA 13% + IT 3%)</t>
        </is>
      </c>
      <c r="B13" s="54" t="n">
        <v>0.16</v>
      </c>
      <c r="C13" s="2" t="inlineStr">
        <is>
          <t>Bolívia. Supõe que o preço da tabela é o valor total da fatura (impostos dentro). Se o Estado pagar o preço + impostos, ponha 0.</t>
        </is>
      </c>
    </row>
    <row r="14">
      <c r="A14" s="5" t="inlineStr">
        <is>
          <t>Imposto sobre o lucro (IUE)</t>
        </is>
      </c>
      <c r="B14" s="54" t="n">
        <v>0.25</v>
      </c>
      <c r="C14" s="2" t="inlineStr">
        <is>
          <t>Bolívia.</t>
        </is>
      </c>
    </row>
    <row r="15">
      <c r="A15" s="5" t="inlineStr">
        <is>
          <t>Encargos sociais sobre salário</t>
        </is>
      </c>
      <c r="B15" s="55" t="n">
        <v>0.33</v>
      </c>
      <c r="C15" s="2" t="inlineStr">
        <is>
          <t>CNS 10% + AFP patronal ~6,7% + aguinaldo 8,33% + previsão de indenização 8,33%. Confirmar com o contador.</t>
        </is>
      </c>
    </row>
    <row r="16">
      <c r="A16" s="5" t="inlineStr">
        <is>
          <t>Meses que o Estado demora para pagar</t>
        </is>
      </c>
      <c r="B16" s="22" t="n">
        <v>3</v>
      </c>
      <c r="C16" s="2" t="inlineStr">
        <is>
          <t>Pagamento público costuma atrasar 60–90 dias: é o caixa que você precisa ter antes.</t>
        </is>
      </c>
    </row>
    <row r="17">
      <c r="A17" s="5" t="inlineStr">
        <is>
          <t>Mensalidade · tablero da rede e administração (US$)</t>
        </is>
      </c>
      <c r="B17" s="56" t="n">
        <v>250</v>
      </c>
      <c r="C17" s="2" t="inlineStr">
        <is>
          <t>Como está no slide de preços. O slide "Incluye" diz que o tablero vem incluído: decidir qual vale.</t>
        </is>
      </c>
    </row>
    <row r="18">
      <c r="A18" s="5" t="inlineStr">
        <is>
          <t>Implantação única · tablero da rede (US$)</t>
        </is>
      </c>
      <c r="B18" s="56" t="n">
        <v>250</v>
      </c>
      <c r="C18" s="2" t="inlineStr">
        <is>
          <t>Como está no slide de preços.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95" customWidth="1" min="7" max="7"/>
  </cols>
  <sheetData>
    <row r="1">
      <c r="A1" s="1" t="inlineStr">
        <is>
          <t>Estabelecimentos cobrados em cada cenário</t>
        </is>
      </c>
    </row>
    <row r="2">
      <c r="A2" s="2" t="inlineStr">
        <is>
          <t>Quantidades em azul; amarelo = estimativa (confirmar com a Secretaria Municipal de Saúde e o SEDES).</t>
        </is>
      </c>
    </row>
    <row r="4" ht="32" customHeight="1">
      <c r="A4" s="3" t="inlineStr">
        <is>
          <t>Tipo de estabelecimento</t>
        </is>
      </c>
      <c r="B4" s="4" t="inlineStr">
        <is>
          <t>Mensalidade (US$)</t>
        </is>
      </c>
      <c r="C4" s="4" t="inlineStr">
        <is>
          <t>Implantação (US$)</t>
        </is>
      </c>
      <c r="D4" s="4" t="inlineStr">
        <is>
          <t>Qtd · Red Centro</t>
        </is>
      </c>
      <c r="E4" s="4" t="inlineStr">
        <is>
          <t>Qtd · Município</t>
        </is>
      </c>
      <c r="F4" s="4" t="inlineStr">
        <is>
          <t>Qtd · Município + províncias</t>
        </is>
      </c>
      <c r="G4" s="4" t="inlineStr">
        <is>
          <t>De onde vem a quantidade</t>
        </is>
      </c>
    </row>
    <row r="5">
      <c r="A5" s="5" t="inlineStr">
        <is>
          <t>1º nível sem colposcopia</t>
        </is>
      </c>
      <c r="B5" s="46">
        <f>Supostos!$B$5</f>
        <v/>
      </c>
      <c r="C5" s="46">
        <f>Supostos!$B$9</f>
        <v/>
      </c>
      <c r="D5" s="57" t="n">
        <v>8</v>
      </c>
      <c r="E5" s="58" t="n">
        <v>60</v>
      </c>
      <c r="F5" s="58" t="n">
        <v>160</v>
      </c>
      <c r="G5" s="2" t="inlineStr">
        <is>
          <t>Red Centro: 9 centros cadastrados no SIVEC, 1 deles com colposcopia. Município: 65 centros (El Deber) menos os que têm colposcopia. Províncias: +100 centros (estimativa).</t>
        </is>
      </c>
    </row>
    <row r="6">
      <c r="A6" s="5" t="inlineStr">
        <is>
          <t>1º nível com colposcopia e biópsia</t>
        </is>
      </c>
      <c r="B6" s="46">
        <f>Supostos!$B$6</f>
        <v/>
      </c>
      <c r="C6" s="46">
        <f>Supostos!$B$9</f>
        <v/>
      </c>
      <c r="D6" s="57" t="n">
        <v>1</v>
      </c>
      <c r="E6" s="58" t="n">
        <v>5</v>
      </c>
      <c r="F6" s="58" t="n">
        <v>5</v>
      </c>
      <c r="G6" s="2" t="inlineStr">
        <is>
          <t>Estimativa: ~1 por rede. Confirmar quais centros fazem colposcopia.</t>
        </is>
      </c>
    </row>
    <row r="7">
      <c r="A7" s="5" t="inlineStr">
        <is>
          <t>Hospital de 2º nível</t>
        </is>
      </c>
      <c r="B7" s="46">
        <f>Supostos!$B$7</f>
        <v/>
      </c>
      <c r="C7" s="46">
        <f>Supostos!$B$10</f>
        <v/>
      </c>
      <c r="D7" s="57" t="n">
        <v>1</v>
      </c>
      <c r="E7" s="57" t="n">
        <v>5</v>
      </c>
      <c r="F7" s="58" t="n">
        <v>15</v>
      </c>
      <c r="G7" s="2" t="inlineStr">
        <is>
          <t>Município: 5 hospitais municipais (GAM). Províncias: +10 hospitais de 2º nível (estimativa).</t>
        </is>
      </c>
    </row>
    <row r="8">
      <c r="A8" s="5" t="inlineStr">
        <is>
          <t>Hospital de 3º nível</t>
        </is>
      </c>
      <c r="B8" s="46">
        <f>Supostos!$B$8</f>
        <v/>
      </c>
      <c r="C8" s="46">
        <f>Supostos!$B$11</f>
        <v/>
      </c>
      <c r="D8" s="57" t="n">
        <v>0</v>
      </c>
      <c r="E8" s="58" t="n">
        <v>5</v>
      </c>
      <c r="F8" s="58" t="n">
        <v>5</v>
      </c>
      <c r="G8" s="2" t="inlineStr">
        <is>
          <t>Defensoría del Pueblo: 5 hospitais de 3º nível na cidade (confirmar o 5º).</t>
        </is>
      </c>
    </row>
    <row r="9">
      <c r="A9" s="5" t="inlineStr">
        <is>
          <t>4º nível · Instituto Oncológico</t>
        </is>
      </c>
      <c r="B9" s="46">
        <f>Supostos!$B$8</f>
        <v/>
      </c>
      <c r="C9" s="46">
        <f>Supostos!$B$11</f>
        <v/>
      </c>
      <c r="D9" s="57" t="n">
        <v>1</v>
      </c>
      <c r="E9" s="57" t="n">
        <v>1</v>
      </c>
      <c r="F9" s="57" t="n">
        <v>1</v>
      </c>
      <c r="G9" s="2" t="inlineStr">
        <is>
          <t>Já conectado ao SIVEC (laboratório e colposcopia).</t>
        </is>
      </c>
    </row>
    <row r="10">
      <c r="A10" s="5" t="inlineStr">
        <is>
          <t>Laboratório de citologia independente</t>
        </is>
      </c>
      <c r="B10" s="46">
        <f>Supostos!$B$8</f>
        <v/>
      </c>
      <c r="C10" s="46">
        <f>Supostos!$B$11</f>
        <v/>
      </c>
      <c r="D10" s="57" t="n">
        <v>0</v>
      </c>
      <c r="E10" s="57" t="n">
        <v>0</v>
      </c>
      <c r="F10" s="57" t="n">
        <v>0</v>
      </c>
      <c r="G10" s="2" t="inlineStr">
        <is>
          <t>Se algum laboratório fora dos hospitais ler PAP/VPH, coloque aqui.</t>
        </is>
      </c>
    </row>
    <row r="11">
      <c r="A11" s="5" t="inlineStr">
        <is>
          <t>Tablero da rede (gestor + mapa)</t>
        </is>
      </c>
      <c r="B11" s="46">
        <f>Supostos!$B$17</f>
        <v/>
      </c>
      <c r="C11" s="46">
        <f>Supostos!$B$18</f>
        <v/>
      </c>
      <c r="D11" s="58" t="n">
        <v>0</v>
      </c>
      <c r="E11" s="58" t="n">
        <v>0</v>
      </c>
      <c r="F11" s="58" t="n">
        <v>0</v>
      </c>
      <c r="G11" s="2" t="inlineStr">
        <is>
          <t>Em 0 = incluído no pacote (como no exemplo da apresentação). Ponha 1 por rede se for cobrar os US$ 250 do slide de preços (Município: 4 redes).</t>
        </is>
      </c>
    </row>
    <row r="12">
      <c r="A12" s="12" t="inlineStr">
        <is>
          <t>TOTAL de estabelecimentos</t>
        </is>
      </c>
      <c r="B12" s="26" t="n"/>
      <c r="C12" s="26" t="n"/>
      <c r="D12" s="59">
        <f>SUM(D5:D11)</f>
        <v/>
      </c>
      <c r="E12" s="59">
        <f>SUM(E5:E11)</f>
        <v/>
      </c>
      <c r="F12" s="59">
        <f>SUM(F5:F11)</f>
        <v/>
      </c>
    </row>
    <row r="13">
      <c r="A13" s="8" t="inlineStr">
        <is>
          <t>Mensalidades (US$/mês)</t>
        </is>
      </c>
      <c r="D13" s="60">
        <f>SUMPRODUCT($B$5:$B$11,D5:D11)</f>
        <v/>
      </c>
      <c r="E13" s="60">
        <f>SUMPRODUCT($B$5:$B$11,E5:E11)</f>
        <v/>
      </c>
      <c r="F13" s="60">
        <f>SUMPRODUCT($B$5:$B$11,F5:F11)</f>
        <v/>
      </c>
    </row>
    <row r="14">
      <c r="A14" s="8" t="inlineStr">
        <is>
          <t>Implantação total (US$, uma vez)</t>
        </is>
      </c>
      <c r="D14" s="60">
        <f>SUMPRODUCT($C$5:$C$11,D5:D11)</f>
        <v/>
      </c>
      <c r="E14" s="60">
        <f>SUMPRODUCT($C$5:$C$11,E5:E11)</f>
        <v/>
      </c>
      <c r="F14" s="60">
        <f>SUMPRODUCT($C$5:$C$11,F5:F11)</f>
        <v/>
      </c>
    </row>
    <row r="17">
      <c r="A17" s="16" t="inlineStr">
        <is>
          <t>Lista de referência · município de Santa Cruz de la Sierra</t>
        </is>
      </c>
    </row>
    <row r="18">
      <c r="A18" s="8" t="inlineStr">
        <is>
          <t>4 redes municipais</t>
        </is>
      </c>
      <c r="B18" s="2" t="inlineStr">
        <is>
          <t>Red Centro, Red Norte, Red Sur, Red Este (GAM Santa Cruz). Tablero da rede: ver a linha "Tablero da rede" acima.</t>
        </is>
      </c>
    </row>
    <row r="19">
      <c r="A19" s="8" t="inlineStr">
        <is>
          <t>Red Centro · 9 centros</t>
        </is>
      </c>
      <c r="B19" s="2" t="inlineStr">
        <is>
          <t>Elvira Wunderlich, Perpetuo Socorro, Roque Aguilera, San Carlos, San Luis, Santa Rosita, Virgen de Cotoca, Virgen de Fátima, Willy Lemaitre.</t>
        </is>
      </c>
    </row>
    <row r="20">
      <c r="A20" s="8" t="inlineStr">
        <is>
          <t>Hospitais municipais de 2º nível</t>
        </is>
      </c>
      <c r="B20" s="2" t="inlineStr">
        <is>
          <t>Francés, Villa 1ro de Mayo, Pampa de la Isla, Plan 3000, Bajío del Oriente.</t>
        </is>
      </c>
    </row>
    <row r="21">
      <c r="A21" s="8" t="inlineStr">
        <is>
          <t>Hospitais de 3º nível</t>
        </is>
      </c>
      <c r="B21" s="2" t="inlineStr">
        <is>
          <t>San Juan de Dios, Japonés, de Niños Dr. Mario Ortiz Suárez, de la Mujer Dr. Percy Boland, 5º a confirmar.</t>
        </is>
      </c>
    </row>
    <row r="22">
      <c r="A22" s="8" t="inlineStr">
        <is>
          <t>4º nível</t>
        </is>
      </c>
      <c r="B22" s="2" t="inlineStr">
        <is>
          <t>Instituto Oncológico del Oriente Boliviano.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60" customWidth="1" min="2" max="2"/>
    <col width="15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Equipe por cenário</t>
        </is>
      </c>
    </row>
    <row r="2">
      <c r="A2" s="2" t="inlineStr">
        <is>
          <t>Salário mensal em Bs (estimativa de mercado em Santa Cruz). Pessoas em azul: mude à vontade. Externos não pagam encargos.</t>
        </is>
      </c>
    </row>
    <row r="4" ht="32" customHeight="1">
      <c r="A4" s="3" t="inlineStr">
        <is>
          <t>Cargo</t>
        </is>
      </c>
      <c r="B4" s="4" t="inlineStr">
        <is>
          <t>O que faz</t>
        </is>
      </c>
      <c r="C4" s="4" t="inlineStr">
        <is>
          <t>Salário (Bs/mês)</t>
        </is>
      </c>
      <c r="D4" s="4" t="inlineStr">
        <is>
          <t>Externo? (1=sim)</t>
        </is>
      </c>
      <c r="E4" s="4" t="inlineStr">
        <is>
          <t>Pessoas · Red Centro (só o exemplo)</t>
        </is>
      </c>
      <c r="F4" s="4" t="inlineStr">
        <is>
          <t>Pessoas · Município · equipe enxuta</t>
        </is>
      </c>
      <c r="G4" s="4" t="inlineStr">
        <is>
          <t>Pessoas · Município · equipe completa</t>
        </is>
      </c>
      <c r="H4" s="4" t="inlineStr">
        <is>
          <t>Pessoas · Município + províncias</t>
        </is>
      </c>
      <c r="I4" s="4" t="inlineStr">
        <is>
          <t>Custo · Red Centro (só o exemplo)</t>
        </is>
      </c>
      <c r="J4" s="4" t="inlineStr">
        <is>
          <t>Custo · Município · equipe enxuta</t>
        </is>
      </c>
      <c r="K4" s="4" t="inlineStr">
        <is>
          <t>Custo · Município · equipe completa</t>
        </is>
      </c>
      <c r="L4" s="4" t="inlineStr">
        <is>
          <t>Custo · Município + províncias</t>
        </is>
      </c>
    </row>
    <row r="5" ht="30" customHeight="1">
      <c r="A5" s="8" t="inlineStr">
        <is>
          <t>Fundador / diretor</t>
        </is>
      </c>
      <c r="B5" s="29" t="inlineStr">
        <is>
          <t>Você: produto, parte clínica, contratos com o município e o SEDES. Na Red Centro você segue como médico e não tira salário.</t>
        </is>
      </c>
      <c r="C5" s="61" t="n">
        <v>10000</v>
      </c>
      <c r="D5" s="31" t="n">
        <v>0</v>
      </c>
      <c r="E5" s="57" t="n">
        <v>0</v>
      </c>
      <c r="F5" s="57" t="n">
        <v>1</v>
      </c>
      <c r="G5" s="57" t="n">
        <v>1</v>
      </c>
      <c r="H5" s="57" t="n">
        <v>1</v>
      </c>
      <c r="I5" s="48">
        <f>$C5*E5*(1+IF($D5=1,0,Supostos!$B$15))</f>
        <v/>
      </c>
      <c r="J5" s="48">
        <f>$C5*F5*(1+IF($D5=1,0,Supostos!$B$15))</f>
        <v/>
      </c>
      <c r="K5" s="48">
        <f>$C5*G5*(1+IF($D5=1,0,Supostos!$B$15))</f>
        <v/>
      </c>
      <c r="L5" s="48">
        <f>$C5*H5*(1+IF($D5=1,0,Supostos!$B$15))</f>
        <v/>
      </c>
    </row>
    <row r="6" ht="30" customHeight="1">
      <c r="A6" s="8" t="inlineStr">
        <is>
          <t>Desenvolvedor full-stack</t>
        </is>
      </c>
      <c r="B6" s="29" t="inlineStr">
        <is>
          <t>Correções, melhorias, relatórios novos; responde pelo sistema perante o município.</t>
        </is>
      </c>
      <c r="C6" s="61" t="n">
        <v>8500</v>
      </c>
      <c r="D6" s="31" t="n">
        <v>0</v>
      </c>
      <c r="E6" s="57" t="n">
        <v>0</v>
      </c>
      <c r="F6" s="57" t="n">
        <v>1</v>
      </c>
      <c r="G6" s="57" t="n">
        <v>1</v>
      </c>
      <c r="H6" s="57" t="n">
        <v>1</v>
      </c>
      <c r="I6" s="48">
        <f>$C6*E6*(1+IF($D6=1,0,Supostos!$B$15))</f>
        <v/>
      </c>
      <c r="J6" s="48">
        <f>$C6*F6*(1+IF($D6=1,0,Supostos!$B$15))</f>
        <v/>
      </c>
      <c r="K6" s="48">
        <f>$C6*G6*(1+IF($D6=1,0,Supostos!$B$15))</f>
        <v/>
      </c>
      <c r="L6" s="48">
        <f>$C6*H6*(1+IF($D6=1,0,Supostos!$B$15))</f>
        <v/>
      </c>
    </row>
    <row r="7" ht="30" customHeight="1">
      <c r="A7" s="8" t="inlineStr">
        <is>
          <t>Suporte + capacitação</t>
        </is>
      </c>
      <c r="B7" s="29" t="inlineStr">
        <is>
          <t>Enfermeira ou licenciada: atende por telefone/WhatsApp, cria usuários e vai aos centros capacitar.</t>
        </is>
      </c>
      <c r="C7" s="61" t="n">
        <v>5500</v>
      </c>
      <c r="D7" s="31" t="n">
        <v>0</v>
      </c>
      <c r="E7" s="57" t="n">
        <v>0</v>
      </c>
      <c r="F7" s="57" t="n">
        <v>1</v>
      </c>
      <c r="G7" s="57" t="n">
        <v>0</v>
      </c>
      <c r="H7" s="57" t="n">
        <v>1</v>
      </c>
      <c r="I7" s="48">
        <f>$C7*E7*(1+IF($D7=1,0,Supostos!$B$15))</f>
        <v/>
      </c>
      <c r="J7" s="48">
        <f>$C7*F7*(1+IF($D7=1,0,Supostos!$B$15))</f>
        <v/>
      </c>
      <c r="K7" s="48">
        <f>$C7*G7*(1+IF($D7=1,0,Supostos!$B$15))</f>
        <v/>
      </c>
      <c r="L7" s="48">
        <f>$C7*H7*(1+IF($D7=1,0,Supostos!$B$15))</f>
        <v/>
      </c>
    </row>
    <row r="8" ht="30" customHeight="1">
      <c r="A8" s="8" t="inlineStr">
        <is>
          <t>Mesa de ajuda</t>
        </is>
      </c>
      <c r="B8" s="29" t="inlineStr">
        <is>
          <t>Só atendimento remoto (telefone, WhatsApp, e-mail).</t>
        </is>
      </c>
      <c r="C8" s="61" t="n">
        <v>4000</v>
      </c>
      <c r="D8" s="31" t="n">
        <v>0</v>
      </c>
      <c r="E8" s="57" t="n">
        <v>0</v>
      </c>
      <c r="F8" s="57" t="n">
        <v>0</v>
      </c>
      <c r="G8" s="57" t="n">
        <v>1</v>
      </c>
      <c r="H8" s="57" t="n">
        <v>1</v>
      </c>
      <c r="I8" s="48">
        <f>$C8*E8*(1+IF($D8=1,0,Supostos!$B$15))</f>
        <v/>
      </c>
      <c r="J8" s="48">
        <f>$C8*F8*(1+IF($D8=1,0,Supostos!$B$15))</f>
        <v/>
      </c>
      <c r="K8" s="48">
        <f>$C8*G8*(1+IF($D8=1,0,Supostos!$B$15))</f>
        <v/>
      </c>
      <c r="L8" s="48">
        <f>$C8*H8*(1+IF($D8=1,0,Supostos!$B$15))</f>
        <v/>
      </c>
    </row>
    <row r="9" ht="30" customHeight="1">
      <c r="A9" s="8" t="inlineStr">
        <is>
          <t>Implantador / capacitador</t>
        </is>
      </c>
      <c r="B9" s="29" t="inlineStr">
        <is>
          <t>Vai a cada centro e hospital; 1 pessoa dá conta de ~40 centros por semestre de implantação.</t>
        </is>
      </c>
      <c r="C9" s="61" t="n">
        <v>6000</v>
      </c>
      <c r="D9" s="31" t="n">
        <v>0</v>
      </c>
      <c r="E9" s="57" t="n">
        <v>0</v>
      </c>
      <c r="F9" s="57" t="n">
        <v>0</v>
      </c>
      <c r="G9" s="57" t="n">
        <v>1</v>
      </c>
      <c r="H9" s="57" t="n">
        <v>1</v>
      </c>
      <c r="I9" s="48">
        <f>$C9*E9*(1+IF($D9=1,0,Supostos!$B$15))</f>
        <v/>
      </c>
      <c r="J9" s="48">
        <f>$C9*F9*(1+IF($D9=1,0,Supostos!$B$15))</f>
        <v/>
      </c>
      <c r="K9" s="48">
        <f>$C9*G9*(1+IF($D9=1,0,Supostos!$B$15))</f>
        <v/>
      </c>
      <c r="L9" s="48">
        <f>$C9*H9*(1+IF($D9=1,0,Supostos!$B$15))</f>
        <v/>
      </c>
    </row>
    <row r="10" ht="30" customHeight="1">
      <c r="A10" s="8" t="inlineStr">
        <is>
          <t>Administrativo e financeiro (meio período)</t>
        </is>
      </c>
      <c r="B10" s="29" t="inlineStr">
        <is>
          <t>Faturas ao município, cobranças, pagamentos.</t>
        </is>
      </c>
      <c r="C10" s="61" t="n">
        <v>2500</v>
      </c>
      <c r="D10" s="31" t="n">
        <v>0</v>
      </c>
      <c r="E10" s="57" t="n">
        <v>0</v>
      </c>
      <c r="F10" s="57" t="n">
        <v>1</v>
      </c>
      <c r="G10" s="57" t="n">
        <v>1</v>
      </c>
      <c r="H10" s="57" t="n">
        <v>1</v>
      </c>
      <c r="I10" s="48">
        <f>$C10*E10*(1+IF($D10=1,0,Supostos!$B$15))</f>
        <v/>
      </c>
      <c r="J10" s="48">
        <f>$C10*F10*(1+IF($D10=1,0,Supostos!$B$15))</f>
        <v/>
      </c>
      <c r="K10" s="48">
        <f>$C10*G10*(1+IF($D10=1,0,Supostos!$B$15))</f>
        <v/>
      </c>
      <c r="L10" s="48">
        <f>$C10*H10*(1+IF($D10=1,0,Supostos!$B$15))</f>
        <v/>
      </c>
    </row>
    <row r="11" ht="30" customHeight="1">
      <c r="A11" s="8" t="inlineStr">
        <is>
          <t>Contador (externo)</t>
        </is>
      </c>
      <c r="B11" s="29" t="inlineStr">
        <is>
          <t>Impostos, balanços, folha de pagamento.</t>
        </is>
      </c>
      <c r="C11" s="61" t="n">
        <v>1500</v>
      </c>
      <c r="D11" s="31" t="n">
        <v>1</v>
      </c>
      <c r="E11" s="57" t="n">
        <v>1</v>
      </c>
      <c r="F11" s="57" t="n">
        <v>1</v>
      </c>
      <c r="G11" s="57" t="n">
        <v>1</v>
      </c>
      <c r="H11" s="57" t="n">
        <v>1</v>
      </c>
      <c r="I11" s="48">
        <f>$C11*E11*(1+IF($D11=1,0,Supostos!$B$15))</f>
        <v/>
      </c>
      <c r="J11" s="48">
        <f>$C11*F11*(1+IF($D11=1,0,Supostos!$B$15))</f>
        <v/>
      </c>
      <c r="K11" s="48">
        <f>$C11*G11*(1+IF($D11=1,0,Supostos!$B$15))</f>
        <v/>
      </c>
      <c r="L11" s="48">
        <f>$C11*H11*(1+IF($D11=1,0,Supostos!$B$15))</f>
        <v/>
      </c>
    </row>
    <row r="12" ht="30" customHeight="1">
      <c r="A12" s="8" t="inlineStr">
        <is>
          <t>Advogado (externo, por demanda)</t>
        </is>
      </c>
      <c r="B12" s="29" t="inlineStr">
        <is>
          <t>Contratos, SENAPI, proteção de dados.</t>
        </is>
      </c>
      <c r="C12" s="61" t="n">
        <v>1000</v>
      </c>
      <c r="D12" s="31" t="n">
        <v>1</v>
      </c>
      <c r="E12" s="57" t="n">
        <v>0</v>
      </c>
      <c r="F12" s="57" t="n">
        <v>1</v>
      </c>
      <c r="G12" s="57" t="n">
        <v>1</v>
      </c>
      <c r="H12" s="57" t="n">
        <v>1</v>
      </c>
      <c r="I12" s="48">
        <f>$C12*E12*(1+IF($D12=1,0,Supostos!$B$15))</f>
        <v/>
      </c>
      <c r="J12" s="48">
        <f>$C12*F12*(1+IF($D12=1,0,Supostos!$B$15))</f>
        <v/>
      </c>
      <c r="K12" s="48">
        <f>$C12*G12*(1+IF($D12=1,0,Supostos!$B$15))</f>
        <v/>
      </c>
      <c r="L12" s="48">
        <f>$C12*H12*(1+IF($D12=1,0,Supostos!$B$15))</f>
        <v/>
      </c>
    </row>
    <row r="13">
      <c r="A13" s="8" t="inlineStr">
        <is>
          <t>TOTAL</t>
        </is>
      </c>
      <c r="E13" s="59">
        <f>SUM(E5:E12)</f>
        <v/>
      </c>
      <c r="F13" s="59">
        <f>SUM(F5:F12)</f>
        <v/>
      </c>
      <c r="G13" s="59">
        <f>SUM(G5:G12)</f>
        <v/>
      </c>
      <c r="H13" s="59">
        <f>SUM(H5:H12)</f>
        <v/>
      </c>
      <c r="I13" s="50">
        <f>SUM(I5:I12)</f>
        <v/>
      </c>
      <c r="J13" s="50">
        <f>SUM(J5:J12)</f>
        <v/>
      </c>
      <c r="K13" s="50">
        <f>SUM(K5:K12)</f>
        <v/>
      </c>
      <c r="L13" s="50">
        <f>SUM(L5:L12)</f>
        <v/>
      </c>
    </row>
    <row r="14">
      <c r="A14" s="5" t="inlineStr">
        <is>
          <t>Só pessoas contratadas (sem externos)</t>
        </is>
      </c>
      <c r="E14" s="62">
        <f>SUMPRODUCT(E5:E12,1-$D$5:$D$12)</f>
        <v/>
      </c>
      <c r="F14" s="62">
        <f>SUMPRODUCT(F5:F12,1-$D$5:$D$12)</f>
        <v/>
      </c>
      <c r="G14" s="62">
        <f>SUMPRODUCT(G5:G12,1-$D$5:$D$12)</f>
        <v/>
      </c>
      <c r="H14" s="62">
        <f>SUMPRODUCT(H5:H12,1-$D$5:$D$12)</f>
        <v/>
      </c>
    </row>
    <row r="15">
      <c r="A15" s="5" t="inlineStr">
        <is>
          <t>Custo mensal em US$</t>
        </is>
      </c>
      <c r="I15" s="51">
        <f>I13/Supostos!$B$12</f>
        <v/>
      </c>
      <c r="J15" s="51">
        <f>J13/Supostos!$B$12</f>
        <v/>
      </c>
      <c r="K15" s="51">
        <f>K13/Supostos!$B$12</f>
        <v/>
      </c>
      <c r="L15" s="51">
        <f>L13/Supostos!$B$12</f>
        <v/>
      </c>
    </row>
    <row r="17">
      <c r="A17" s="2" t="inlineStr">
        <is>
          <t>Implantação (primeiros 6 meses): contrate implantadores temporários pagos com a taxa de implantação (ver Resultado, linha "Implantação líquida").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  <col width="20" customWidth="1" min="5" max="5"/>
    <col width="80" customWidth="1" min="6" max="6"/>
  </cols>
  <sheetData>
    <row r="1">
      <c r="A1" s="1" t="inlineStr">
        <is>
          <t>Gastos fixos por mês (Bs)</t>
        </is>
      </c>
    </row>
    <row r="2">
      <c r="A2" s="2" t="inlineStr">
        <is>
          <t>Aluguel, transporte, ferramentas e o resto. Valores em azul; mude pelo que você cotar.</t>
        </is>
      </c>
    </row>
    <row r="4" ht="32" customHeight="1">
      <c r="A4" s="3" t="inlineStr">
        <is>
          <t>Gasto</t>
        </is>
      </c>
      <c r="B4" s="4" t="inlineStr">
        <is>
          <t>Red Centro (só o exemplo)</t>
        </is>
      </c>
      <c r="C4" s="4" t="inlineStr">
        <is>
          <t>Município · equipe enxuta</t>
        </is>
      </c>
      <c r="D4" s="4" t="inlineStr">
        <is>
          <t>Município · equipe completa</t>
        </is>
      </c>
      <c r="E4" s="4" t="inlineStr">
        <is>
          <t>Município + províncias</t>
        </is>
      </c>
      <c r="F4" s="4" t="inlineStr">
        <is>
          <t>Observação</t>
        </is>
      </c>
    </row>
    <row r="5">
      <c r="A5" s="5" t="inlineStr">
        <is>
          <t>Aluguel de sala (30–40 m²)</t>
        </is>
      </c>
      <c r="B5" s="63" t="n">
        <v>0</v>
      </c>
      <c r="C5" s="63" t="n">
        <v>2100</v>
      </c>
      <c r="D5" s="63" t="n">
        <v>2800</v>
      </c>
      <c r="E5" s="63" t="n">
        <v>2800</v>
      </c>
      <c r="F5" s="2" t="inlineStr">
        <is>
          <t>Sala pequena entre o 2º e o 4º anel. Na Red Centro você trabalha de casa.</t>
        </is>
      </c>
    </row>
    <row r="6">
      <c r="A6" s="5" t="inlineStr">
        <is>
          <t>Luz, internet e condomínio</t>
        </is>
      </c>
      <c r="B6" s="63" t="n">
        <v>0</v>
      </c>
      <c r="C6" s="63" t="n">
        <v>600</v>
      </c>
      <c r="D6" s="63" t="n">
        <v>700</v>
      </c>
      <c r="E6" s="63" t="n">
        <v>700</v>
      </c>
      <c r="F6" s="2" t="inlineStr"/>
    </row>
    <row r="7">
      <c r="A7" s="5" t="inlineStr">
        <is>
          <t>Transporte na cidade</t>
        </is>
      </c>
      <c r="B7" s="63" t="n">
        <v>500</v>
      </c>
      <c r="C7" s="63" t="n">
        <v>1200</v>
      </c>
      <c r="D7" s="63" t="n">
        <v>1500</v>
      </c>
      <c r="E7" s="63" t="n">
        <v>1500</v>
      </c>
      <c r="F7" s="2" t="inlineStr">
        <is>
          <t>Táxi/combustível para capacitação e visitas aos centros.</t>
        </is>
      </c>
    </row>
    <row r="8">
      <c r="A8" s="5" t="inlineStr">
        <is>
          <t>Viagens às províncias (passagem + diárias)</t>
        </is>
      </c>
      <c r="B8" s="63" t="n">
        <v>0</v>
      </c>
      <c r="C8" s="63" t="n">
        <v>0</v>
      </c>
      <c r="D8" s="63" t="n">
        <v>0</v>
      </c>
      <c r="E8" s="63" t="n">
        <v>4000</v>
      </c>
      <c r="F8" s="2" t="inlineStr">
        <is>
          <t>~4 viagens/mês de Bs 1.000 (passagem, hospedagem, alimentação).</t>
        </is>
      </c>
    </row>
    <row r="9">
      <c r="A9" s="5" t="inlineStr">
        <is>
          <t>Notebooks e celulares (divididos em 36 meses)</t>
        </is>
      </c>
      <c r="B9" s="63" t="n">
        <v>0</v>
      </c>
      <c r="C9" s="63" t="n">
        <v>700</v>
      </c>
      <c r="D9" s="63" t="n">
        <v>1000</v>
      </c>
      <c r="E9" s="63" t="n">
        <v>1000</v>
      </c>
      <c r="F9" s="2" t="inlineStr"/>
    </row>
    <row r="10">
      <c r="A10" s="5" t="inlineStr">
        <is>
          <t>Reserva para imprevistos</t>
        </is>
      </c>
      <c r="B10" s="63" t="n">
        <v>0</v>
      </c>
      <c r="C10" s="63" t="n">
        <v>2000</v>
      </c>
      <c r="D10" s="63" t="n">
        <v>2000</v>
      </c>
      <c r="E10" s="63" t="n">
        <v>3500</v>
      </c>
      <c r="F10" s="2" t="inlineStr">
        <is>
          <t>Equipamento que quebra, multa, viagem urgente.</t>
        </is>
      </c>
    </row>
    <row r="11">
      <c r="A11" s="5" t="inlineStr">
        <is>
          <t>Ferramentas e nuvem (US$/mês)</t>
        </is>
      </c>
      <c r="B11" s="53" t="n">
        <v>150</v>
      </c>
      <c r="C11" s="53" t="n">
        <v>360</v>
      </c>
      <c r="D11" s="53" t="n">
        <v>430</v>
      </c>
      <c r="E11" s="53" t="n">
        <v>500</v>
      </c>
      <c r="F11" s="2" t="inlineStr">
        <is>
          <t>Supabase Pro + computação, hospedagem, domínio, e-mail, backups, monitoramento, contas da equipe. Detalhe na aba Ferramentas.</t>
        </is>
      </c>
    </row>
    <row r="12">
      <c r="A12" s="5" t="inlineStr">
        <is>
          <t>Ferramentas e nuvem (Bs/mês)</t>
        </is>
      </c>
      <c r="B12" s="48">
        <f>B11*Supostos!$B$12</f>
        <v/>
      </c>
      <c r="C12" s="48">
        <f>C11*Supostos!$B$12</f>
        <v/>
      </c>
      <c r="D12" s="48">
        <f>D11*Supostos!$B$12</f>
        <v/>
      </c>
      <c r="E12" s="48">
        <f>E11*Supostos!$B$12</f>
        <v/>
      </c>
    </row>
    <row r="13">
      <c r="A13" s="12" t="inlineStr">
        <is>
          <t>TOTAL gastos fixos (Bs/mês)</t>
        </is>
      </c>
      <c r="B13" s="50">
        <f>SUM(B5:B10)+B12</f>
        <v/>
      </c>
      <c r="C13" s="50">
        <f>SUM(C5:C10)+C12</f>
        <v/>
      </c>
      <c r="D13" s="50">
        <f>SUM(D5:D10)+D12</f>
        <v/>
      </c>
      <c r="E13" s="50">
        <f>SUM(E5:E10)+E12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36" customWidth="1" min="3" max="3"/>
    <col width="12" customWidth="1" min="4" max="4"/>
  </cols>
  <sheetData>
    <row r="1">
      <c r="A1" s="1" t="inlineStr">
        <is>
          <t>Ferramentas para manter o SIVEC (referência para a aba Gastos)</t>
        </is>
      </c>
    </row>
    <row r="2">
      <c r="A2" s="2" t="inlineStr">
        <is>
          <t>US$ por mês, cenário Município. WhatsApp Business é opcional: só se for avisar as pacientes por WhatsApp.</t>
        </is>
      </c>
    </row>
    <row r="4" ht="32" customHeight="1">
      <c r="A4" s="3" t="inlineStr">
        <is>
          <t>Ferramenta</t>
        </is>
      </c>
      <c r="B4" s="4" t="inlineStr">
        <is>
          <t>Para que serve</t>
        </is>
      </c>
      <c r="C4" s="4" t="inlineStr">
        <is>
          <t>Fornecedor sugerido</t>
        </is>
      </c>
      <c r="D4" s="4" t="inlineStr">
        <is>
          <t>US$/mês</t>
        </is>
      </c>
    </row>
    <row r="5">
      <c r="A5" s="5" t="inlineStr">
        <is>
          <t>Banco de dados, login e backups</t>
        </is>
      </c>
      <c r="B5" s="2" t="inlineStr">
        <is>
          <t>Todos os dados, login e cópias diárias.</t>
        </is>
      </c>
      <c r="C5" s="5" t="inlineStr">
        <is>
          <t>Supabase Pro + computação</t>
        </is>
      </c>
      <c r="D5" s="53" t="n">
        <v>135</v>
      </c>
    </row>
    <row r="6">
      <c r="A6" s="5" t="inlineStr">
        <is>
          <t>Hospedagem do aplicativo</t>
        </is>
      </c>
      <c r="B6" s="2" t="inlineStr">
        <is>
          <t>Sistema publicado com endereço próprio.</t>
        </is>
      </c>
      <c r="C6" s="5" t="inlineStr">
        <is>
          <t>Vercel / Cloudflare</t>
        </is>
      </c>
      <c r="D6" s="53" t="n">
        <v>20</v>
      </c>
    </row>
    <row r="7">
      <c r="A7" s="5" t="inlineStr">
        <is>
          <t>Domínio e certificado</t>
        </is>
      </c>
      <c r="B7" s="2" t="inlineStr">
        <is>
          <t>sivec.bo com HTTPS.</t>
        </is>
      </c>
      <c r="C7" s="5" t="inlineStr">
        <is>
          <t>NIC Bolivia + Cloudflare</t>
        </is>
      </c>
      <c r="D7" s="53" t="n">
        <v>3</v>
      </c>
    </row>
    <row r="8">
      <c r="A8" s="5" t="inlineStr">
        <is>
          <t>E-mail transacional</t>
        </is>
      </c>
      <c r="B8" s="2" t="inlineStr">
        <is>
          <t>Senhas e avisos por e-mail.</t>
        </is>
      </c>
      <c r="C8" s="5" t="inlineStr">
        <is>
          <t>Resend / SendGrid</t>
        </is>
      </c>
      <c r="D8" s="53" t="n">
        <v>20</v>
      </c>
    </row>
    <row r="9">
      <c r="A9" s="5" t="inlineStr">
        <is>
          <t>Monitoramento de erros</t>
        </is>
      </c>
      <c r="B9" s="2" t="inlineStr">
        <is>
          <t>Avisa quando algo falha num centro.</t>
        </is>
      </c>
      <c r="C9" s="5" t="inlineStr">
        <is>
          <t>Sentry</t>
        </is>
      </c>
      <c r="D9" s="53" t="n">
        <v>26</v>
      </c>
    </row>
    <row r="10">
      <c r="A10" s="5" t="inlineStr">
        <is>
          <t>Monitor de disponibilidade</t>
        </is>
      </c>
      <c r="B10" s="2" t="inlineStr">
        <is>
          <t>Alerta se o sistema cair.</t>
        </is>
      </c>
      <c r="C10" s="5" t="inlineStr">
        <is>
          <t>Better Stack / UptimeRobot</t>
        </is>
      </c>
      <c r="D10" s="53" t="n">
        <v>25</v>
      </c>
    </row>
    <row r="11">
      <c r="A11" s="5" t="inlineStr">
        <is>
          <t>Backup externo</t>
        </is>
      </c>
      <c r="B11" s="2" t="inlineStr">
        <is>
          <t>Segunda cópia fora do Supabase.</t>
        </is>
      </c>
      <c r="C11" s="5" t="inlineStr">
        <is>
          <t>Backblaze B2</t>
        </is>
      </c>
      <c r="D11" s="53" t="n">
        <v>20</v>
      </c>
    </row>
    <row r="12">
      <c r="A12" s="5" t="inlineStr">
        <is>
          <t>Contas da equipe (e-mail, código, senhas)</t>
        </is>
      </c>
      <c r="B12" s="2" t="inlineStr">
        <is>
          <t>~US$ 15 por pessoa.</t>
        </is>
      </c>
      <c r="C12" s="5" t="inlineStr">
        <is>
          <t>Google Workspace, GitHub, Bitwarden</t>
        </is>
      </c>
      <c r="D12" s="53" t="n">
        <v>90</v>
      </c>
    </row>
    <row r="13">
      <c r="A13" s="5" t="inlineStr">
        <is>
          <t>WhatsApp Business API (opcional)</t>
        </is>
      </c>
      <c r="B13" s="2" t="inlineStr">
        <is>
          <t>Avisos às pacientes.</t>
        </is>
      </c>
      <c r="C13" s="5" t="inlineStr">
        <is>
          <t>360dialog / Twilio</t>
        </is>
      </c>
      <c r="D13" s="53" t="n">
        <v>0</v>
      </c>
    </row>
    <row r="14">
      <c r="A14" s="8" t="inlineStr">
        <is>
          <t>TOTAL (US$/mês)</t>
        </is>
      </c>
      <c r="D14" s="64">
        <f>SUM(D5:D13)</f>
        <v/>
      </c>
    </row>
    <row r="16">
      <c r="A16" s="2" t="inlineStr">
        <is>
          <t>Auditoria de segurança anual (~US$ 3.000–8.000) e seguro de responsabilidade: pagar com a reserva quando o contrato exigir.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10" customWidth="1" min="3" max="3"/>
  </cols>
  <sheetData>
    <row r="1">
      <c r="A1" s="1" t="inlineStr">
        <is>
          <t>Papel vs SIVEC · quanto o sistema devolve em tempo e insumos (cenário Município)</t>
        </is>
      </c>
    </row>
    <row r="2">
      <c r="A2" s="2" t="inlineStr">
        <is>
          <t>Não há dado público de quanto o SUS gasta com papel no PAP: é uma estimativa de baixo para cima. Azul = mude.</t>
        </is>
      </c>
    </row>
    <row r="4" ht="32" customHeight="1">
      <c r="A4" s="3" t="inlineStr">
        <is>
          <t>Suposto / cálculo</t>
        </is>
      </c>
      <c r="B4" s="4" t="inlineStr">
        <is>
          <t>Valor</t>
        </is>
      </c>
      <c r="C4" s="4" t="inlineStr">
        <is>
          <t>Observação e fonte</t>
        </is>
      </c>
    </row>
    <row r="5">
      <c r="A5" s="5" t="inlineStr">
        <is>
          <t>Centros de 1º nível no município</t>
        </is>
      </c>
      <c r="B5" s="45">
        <f>Estabelecimentos!E5+Estabelecimentos!E6</f>
        <v/>
      </c>
      <c r="C5" s="2" t="inlineStr">
        <is>
          <t>Aba Estabelecimentos.</t>
        </is>
      </c>
    </row>
    <row r="6">
      <c r="A6" s="5" t="inlineStr">
        <is>
          <t>Tomas de PAP/VPH por centro por ano</t>
        </is>
      </c>
      <c r="B6" s="58" t="n">
        <v>300</v>
      </c>
      <c r="C6" s="2" t="inlineStr">
        <is>
          <t>San Luis registrou 529 em 12 meses no SIVEC; centros menores fazem menos. Estimativa.</t>
        </is>
      </c>
    </row>
    <row r="7">
      <c r="A7" s="5" t="inlineStr">
        <is>
          <t>Tomas por ano no município</t>
        </is>
      </c>
      <c r="B7" s="62">
        <f>B5*B6</f>
        <v/>
      </c>
      <c r="C7" s="2" t="inlineStr"/>
    </row>
    <row r="8">
      <c r="A8" s="5" t="inlineStr">
        <is>
          <t>Folhas de papel por toma</t>
        </is>
      </c>
      <c r="B8" s="35" t="n">
        <v>3.5</v>
      </c>
      <c r="C8" s="2" t="inlineStr">
        <is>
          <t>Ficha de solicitação (com cópia), informe de resultado, lista de lote, registro no livro, referência e contrarreferência das positivas. Estimativa.</t>
        </is>
      </c>
    </row>
    <row r="9">
      <c r="A9" s="5" t="inlineStr">
        <is>
          <t>Custo por folha (papel + impressão/fotocópia, Bs)</t>
        </is>
      </c>
      <c r="B9" s="36" t="n">
        <v>0.25</v>
      </c>
      <c r="C9" s="2" t="inlineStr">
        <is>
          <t>Estimativa.</t>
        </is>
      </c>
    </row>
    <row r="10">
      <c r="A10" s="5" t="inlineStr">
        <is>
          <t>Papel por ano (Bs)</t>
        </is>
      </c>
      <c r="B10" s="48">
        <f>B7*B8*B9</f>
        <v/>
      </c>
      <c r="C10" s="2" t="inlineStr"/>
    </row>
    <row r="11">
      <c r="A11" s="5" t="inlineStr">
        <is>
          <t>Minutos de papelada economizados por toma</t>
        </is>
      </c>
      <c r="B11" s="58" t="n">
        <v>15</v>
      </c>
      <c r="C11" s="2" t="inlineStr">
        <is>
          <t>Copiar dados no livro, montar a lista do lote, procurar o resultado, passar ao SNIS. Estudo em 5 países: registrar leva ~1/3 do tempo da consulta (BMC Health Serv Res 2021).</t>
        </is>
      </c>
    </row>
    <row r="12">
      <c r="A12" s="5" t="inlineStr">
        <is>
          <t>Horas por mês de informes do PAP por centro (SNIS, listas)</t>
        </is>
      </c>
      <c r="B12" s="35" t="n">
        <v>2</v>
      </c>
      <c r="C12" s="2" t="inlineStr">
        <is>
          <t>Mesmo estudo: ~9 h/mês de informes por trabalhador (todos os programas); aqui só a parte do PAP.</t>
        </is>
      </c>
    </row>
    <row r="13">
      <c r="A13" s="5" t="inlineStr">
        <is>
          <t>Custo de uma hora de enfermeira/licenciada (Bs)</t>
        </is>
      </c>
      <c r="B13" s="37">
        <f>6000/176*(1+Supostos!$B$15)</f>
        <v/>
      </c>
      <c r="C13" s="2" t="inlineStr">
        <is>
          <t>Salário de Bs 6.000 ÷ 176 h + encargos.</t>
        </is>
      </c>
    </row>
    <row r="14">
      <c r="A14" s="5" t="inlineStr">
        <is>
          <t>Horas devolvidas por ano</t>
        </is>
      </c>
      <c r="B14" s="62">
        <f>B7*B11/60+B5*B12*12</f>
        <v/>
      </c>
      <c r="C14" s="2" t="inlineStr"/>
    </row>
    <row r="15">
      <c r="A15" s="5" t="inlineStr">
        <is>
          <t>Equivale a enfermeiras em tempo integral</t>
        </is>
      </c>
      <c r="B15" s="38">
        <f>B14/(176*12)</f>
        <v/>
      </c>
      <c r="C15" s="2" t="inlineStr">
        <is>
          <t>Tempo que volta para atender pacientes.</t>
        </is>
      </c>
    </row>
    <row r="16">
      <c r="A16" s="5" t="inlineStr">
        <is>
          <t>Valor do tempo devolvido (Bs/ano)</t>
        </is>
      </c>
      <c r="B16" s="48">
        <f>B14*B13</f>
        <v/>
      </c>
      <c r="C16" s="2" t="inlineStr"/>
    </row>
    <row r="17">
      <c r="A17" s="5" t="inlineStr">
        <is>
          <t>% de tomas repetidas por resultado ou lâmina perdidos (sem SIVEC)</t>
        </is>
      </c>
      <c r="B17" s="55" t="n">
        <v>0.03</v>
      </c>
      <c r="C17" s="2" t="inlineStr">
        <is>
          <t>Estimativa. Antes do SIVEC, San Luis entregava 15 de 402 resultados.</t>
        </is>
      </c>
    </row>
    <row r="18">
      <c r="A18" s="5" t="inlineStr">
        <is>
          <t>Custo de repetir uma toma (Bs)</t>
        </is>
      </c>
      <c r="B18" s="61" t="n">
        <v>60</v>
      </c>
      <c r="C18" s="2" t="inlineStr">
        <is>
          <t>Insumos + leitura no laboratório + hora da profissional. Estimativa.</t>
        </is>
      </c>
    </row>
    <row r="19">
      <c r="A19" s="5" t="inlineStr">
        <is>
          <t>Tomas repetidas evitadas (Bs/ano)</t>
        </is>
      </c>
      <c r="B19" s="48">
        <f>B7*B17*B18</f>
        <v/>
      </c>
      <c r="C19" s="2" t="inlineStr"/>
    </row>
    <row r="20">
      <c r="A20" s="39" t="inlineStr">
        <is>
          <t>ECONOMIA TOTAL POR ANO (Bs)</t>
        </is>
      </c>
      <c r="B20" s="65">
        <f>B10+B16+B19</f>
        <v/>
      </c>
      <c r="C20" s="41" t="inlineStr"/>
    </row>
    <row r="21">
      <c r="A21" s="5" t="inlineStr">
        <is>
          <t>Economia total por ano (US$)</t>
        </is>
      </c>
      <c r="B21" s="51">
        <f>B20/Supostos!$B$12</f>
        <v/>
      </c>
      <c r="C21" s="2" t="inlineStr"/>
    </row>
    <row r="22">
      <c r="A22" s="5" t="inlineStr">
        <is>
          <t>Custo anual do SIVEC no município (US$)</t>
        </is>
      </c>
      <c r="B22" s="46">
        <f>Estabelecimentos!E13*12</f>
        <v/>
      </c>
      <c r="C22" s="2" t="inlineStr">
        <is>
          <t>Mensalidades × 12.</t>
        </is>
      </c>
    </row>
    <row r="23">
      <c r="A23" s="8" t="inlineStr">
        <is>
          <t>O papel e o tempo pagam esta parte do SIVEC</t>
        </is>
      </c>
      <c r="B23" s="52">
        <f>IFERROR(B21/B22,0)</f>
        <v/>
      </c>
      <c r="C23" s="2" t="inlineStr">
        <is>
          <t>O resto se paga com os tratamentos de câncer evitados (aba Vidas e impacto).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120" customWidth="1" min="3" max="3"/>
  </cols>
  <sheetData>
    <row r="1">
      <c r="A1" s="1" t="inlineStr">
        <is>
          <t>Vidas e impacto · o que o SIVEC muda para as mulheres (cenário Município, por ano)</t>
        </is>
      </c>
    </row>
    <row r="2">
      <c r="A2" s="2" t="inlineStr">
        <is>
          <t>Modelo conservador: conta só as lesões de alto grau que, sem o SIVEC, se perderiam no caminho e agora são tratadas.</t>
        </is>
      </c>
    </row>
    <row r="4" ht="32" customHeight="1">
      <c r="A4" s="3" t="inlineStr">
        <is>
          <t>Suposto / cálculo</t>
        </is>
      </c>
      <c r="B4" s="4" t="inlineStr">
        <is>
          <t>Valor</t>
        </is>
      </c>
      <c r="C4" s="4" t="inlineStr">
        <is>
          <t>Observação e fonte</t>
        </is>
      </c>
    </row>
    <row r="5">
      <c r="A5" s="5" t="inlineStr">
        <is>
          <t>Tomas por ano no município</t>
        </is>
      </c>
      <c r="B5" s="45">
        <f>'Papel vs SIVEC'!B7</f>
        <v/>
      </c>
      <c r="C5" s="2" t="inlineStr">
        <is>
          <t>Aba Papel vs SIVEC.</t>
        </is>
      </c>
    </row>
    <row r="6">
      <c r="A6" s="5" t="inlineStr">
        <is>
          <t>% com lesão de alto grau ou mais (HSIL, ASC-H, AGC, carcinoma)</t>
        </is>
      </c>
      <c r="B6" s="55" t="n">
        <v>0.015</v>
      </c>
      <c r="C6" s="2" t="inlineStr">
        <is>
          <t>Estimativa para a população tamizada em Santa Cruz; confirmar com o Oncológico.</t>
        </is>
      </c>
    </row>
    <row r="7">
      <c r="A7" s="5" t="inlineStr">
        <is>
          <t>Lesões de alto grau detectadas por ano</t>
        </is>
      </c>
      <c r="B7" s="62">
        <f>B5*B6</f>
        <v/>
      </c>
      <c r="C7" s="2" t="inlineStr"/>
    </row>
    <row r="8">
      <c r="A8" s="5" t="inlineStr">
        <is>
          <t>% que completa o tratamento SEM SIVEC</t>
        </is>
      </c>
      <c r="B8" s="55" t="n">
        <v>0.3</v>
      </c>
      <c r="C8" s="2" t="inlineStr">
        <is>
          <t>Estimativa conservadora. Em San Luis, antes do SIVEC, só 15 de 402 resultados chegavam à paciente.</t>
        </is>
      </c>
    </row>
    <row r="9">
      <c r="A9" s="5" t="inlineStr">
        <is>
          <t>% que completa o tratamento COM SIVEC</t>
        </is>
      </c>
      <c r="B9" s="55" t="n">
        <v>0.7</v>
      </c>
      <c r="C9" s="2" t="inlineStr">
        <is>
          <t>Meta. Em San Luis, com o SIVEC: 73% dos resultados entregues e as positivas sem conduta identificadas pelo nome.</t>
        </is>
      </c>
    </row>
    <row r="10">
      <c r="A10" s="5" t="inlineStr">
        <is>
          <t>Mulheres a mais tratadas a tempo, por ano</t>
        </is>
      </c>
      <c r="B10" s="62">
        <f>B7*(B9-B8)</f>
        <v/>
      </c>
      <c r="C10" s="2" t="inlineStr"/>
    </row>
    <row r="11">
      <c r="A11" s="5" t="inlineStr">
        <is>
          <t>% de lesões de alto grau não tratadas que viram câncer</t>
        </is>
      </c>
      <c r="B11" s="55" t="n">
        <v>0.2</v>
      </c>
      <c r="C11" s="2" t="inlineStr">
        <is>
          <t>Conservador. NIC 3 sem tratamento: ~31% viram câncer invasor em 30 anos (McCredie, Lancet Oncol 2008).</t>
        </is>
      </c>
    </row>
    <row r="12">
      <c r="A12" s="5" t="inlineStr">
        <is>
          <t>Cânceres evitados por ano</t>
        </is>
      </c>
      <c r="B12" s="38">
        <f>B10*B11</f>
        <v/>
      </c>
      <c r="C12" s="2" t="inlineStr"/>
    </row>
    <row r="13">
      <c r="A13" s="5" t="inlineStr">
        <is>
          <t>% das mulheres com câncer que morrem (Bolívia)</t>
        </is>
      </c>
      <c r="B13" s="52">
        <f>18.3/38.7</f>
        <v/>
      </c>
      <c r="C13" s="2" t="inlineStr">
        <is>
          <t>Mortalidade 18,3 ÷ incidência 38,7 por 100 mil (GLOBOCAN 2022, a mais alta da América do Sul).</t>
        </is>
      </c>
    </row>
    <row r="14">
      <c r="A14" s="12" t="inlineStr">
        <is>
          <t>VIDAS SALVAS POR ANO</t>
        </is>
      </c>
      <c r="B14" s="42">
        <f>B12*B13</f>
        <v/>
      </c>
      <c r="C14" s="41" t="inlineStr"/>
    </row>
    <row r="15">
      <c r="A15" s="5" t="inlineStr">
        <is>
          <t>Filhos por mãe que morre de câncer de colo</t>
        </is>
      </c>
      <c r="B15" s="35" t="n">
        <v>2.1</v>
      </c>
      <c r="C15" s="2" t="inlineStr">
        <is>
          <t>Em países de renda média-baixa, cada 100 mães mortas deixam ~210 órfãos (Guida et al., Nature Medicine 2022).</t>
        </is>
      </c>
    </row>
    <row r="16">
      <c r="A16" s="12" t="inlineStr">
        <is>
          <t>CRIANÇAS QUE NÃO FICAM ÓRFÃS POR ANO</t>
        </is>
      </c>
      <c r="B16" s="42">
        <f>B14*B15</f>
        <v/>
      </c>
      <c r="C16" s="41" t="inlineStr"/>
    </row>
    <row r="17">
      <c r="A17" s="5" t="inlineStr">
        <is>
          <t>Anos de vida perdidos por cada morte</t>
        </is>
      </c>
      <c r="B17" s="58" t="n">
        <v>20</v>
      </c>
      <c r="C17" s="2" t="inlineStr">
        <is>
          <t>Morre-se em média entre 45 e 55 anos; expectativa de vida das mulheres na Bolívia ~70.</t>
        </is>
      </c>
    </row>
    <row r="18">
      <c r="A18" s="5" t="inlineStr">
        <is>
          <t>Anos de vida salvos por ano</t>
        </is>
      </c>
      <c r="B18" s="62">
        <f>B14*B17</f>
        <v/>
      </c>
      <c r="C18" s="2" t="inlineStr"/>
    </row>
    <row r="19">
      <c r="A19" s="5" t="inlineStr">
        <is>
          <t>Renda nacional por habitante (US$/ano)</t>
        </is>
      </c>
      <c r="B19" s="56" t="n">
        <v>3690</v>
      </c>
      <c r="C19" s="2" t="inlineStr">
        <is>
          <t>Banco Mundial, RNB per capita (Atlas) 2024.</t>
        </is>
      </c>
    </row>
    <row r="20">
      <c r="A20" s="5" t="inlineStr">
        <is>
          <t>Valor produtivo das vidas salvas (US$/ano)</t>
        </is>
      </c>
      <c r="B20" s="51">
        <f>B18*B19</f>
        <v/>
      </c>
      <c r="C20" s="2" t="inlineStr">
        <is>
          <t>Só o que essas mulheres produziriam; não inclui o valor para a família.</t>
        </is>
      </c>
    </row>
    <row r="21">
      <c r="A21" s="5" t="inlineStr">
        <is>
          <t>Valor estatístico de uma vida na Bolívia (US$)</t>
        </is>
      </c>
      <c r="B21" s="56" t="n">
        <v>127000</v>
      </c>
      <c r="C21" s="2" t="inlineStr">
        <is>
          <t>Caso de referência para países de renda média-baixa (Robinson, Hammitt e O'Keeffe, J Benefit-Cost Anal 2019): extrapolado dos EUA com elasticidade 1,5; piso de 20 × a renda por habitante (≈ US$ 74 mil).</t>
        </is>
      </c>
    </row>
    <row r="22">
      <c r="A22" s="5" t="inlineStr">
        <is>
          <t>Valor estatístico das vidas salvas (US$/ano)</t>
        </is>
      </c>
      <c r="B22" s="51">
        <f>B14*B21</f>
        <v/>
      </c>
      <c r="C22" s="2" t="inlineStr"/>
    </row>
    <row r="23">
      <c r="A23" s="5" t="inlineStr">
        <is>
          <t>Custo para o SUS de tratar um câncer de colo (Bs)</t>
        </is>
      </c>
      <c r="B23" s="61" t="n">
        <v>60000</v>
      </c>
      <c r="C23" s="2" t="inlineStr">
        <is>
          <t>Radioterapia externa Bs 20–30 mil + braquiterapia Bs 13–25 mil + quimioterapia ~Bs 6 mil/mês (Ministerio de Salud).</t>
        </is>
      </c>
    </row>
    <row r="24">
      <c r="A24" s="5" t="inlineStr">
        <is>
          <t>Custo de tratar uma lesão de alto grau a tempo (Bs)</t>
        </is>
      </c>
      <c r="B24" s="61" t="n">
        <v>800</v>
      </c>
      <c r="C24" s="2" t="inlineStr">
        <is>
          <t>Colposcopia + biópsia + LEEP/crioterapia. Estimativa.</t>
        </is>
      </c>
    </row>
    <row r="25">
      <c r="A25" s="5" t="inlineStr">
        <is>
          <t>Tratamentos de câncer evitados (Bs/ano)</t>
        </is>
      </c>
      <c r="B25" s="48">
        <f>B12*B23-B10*B24</f>
        <v/>
      </c>
      <c r="C25" s="2" t="inlineStr">
        <is>
          <t>Já desconta o custo de tratar as lesões a tempo.</t>
        </is>
      </c>
    </row>
    <row r="26">
      <c r="A26" s="5" t="inlineStr">
        <is>
          <t>Tratamentos de câncer evitados (US$/ano)</t>
        </is>
      </c>
      <c r="B26" s="51">
        <f>B25/Supostos!$B$12</f>
        <v/>
      </c>
      <c r="C26" s="2" t="inlineStr"/>
    </row>
    <row r="27">
      <c r="A27" s="5" t="inlineStr">
        <is>
          <t>Custo anual do SIVEC no município (US$)</t>
        </is>
      </c>
      <c r="B27" s="46">
        <f>'Papel vs SIVEC'!B22</f>
        <v/>
      </c>
      <c r="C27" s="2" t="inlineStr"/>
    </row>
    <row r="28">
      <c r="A28" s="5" t="inlineStr">
        <is>
          <t>Cada US$ 1 do SIVEC devolve ao SUS em tratamentos (US$)</t>
        </is>
      </c>
      <c r="B28" s="43">
        <f>IFERROR(B26/B27,0)</f>
        <v/>
      </c>
      <c r="C28" s="2" t="inlineStr">
        <is>
          <t>Só tratamentos; sem contar o valor das vidas.</t>
        </is>
      </c>
    </row>
    <row r="29">
      <c r="A29" s="5" t="inlineStr">
        <is>
          <t>Cada US$ 1 do SIVEC devolve, contando tudo (US$)</t>
        </is>
      </c>
      <c r="B29" s="43">
        <f>IFERROR((B26+'Papel vs SIVEC'!B21+B20)/B27,0)</f>
        <v/>
      </c>
      <c r="C29" s="2" t="inlineStr">
        <is>
          <t>Tratamentos + papel e tempo + valor produtivo das vidas.</t>
        </is>
      </c>
    </row>
    <row r="30">
      <c r="A30" s="5" t="inlineStr">
        <is>
          <t>Com teste de VPH em vez de PAP</t>
        </is>
      </c>
      <c r="B30" s="2" t="inlineStr">
        <is>
          <t>proteção 60–70% maior</t>
        </is>
      </c>
      <c r="C30" s="2" t="inlineStr">
        <is>
          <t>Contra o câncer invasor, em 4 ensaios europeus com 176 mil mulheres (Ronco et al., Lancet 2014). Os cânceres evitados subiriam na mesma direção.</t>
        </is>
      </c>
    </row>
    <row r="36">
      <c r="A36" s="2" t="inlineStr">
        <is>
          <t>Os cânceres evitados aparecem ao longo de 5 a 15 anos: a lesão tratada hoje é o câncer que não chega amanhã. Números para sensibilizar, não uma promessa: confirmar os supostos com o Oncológico e o SEDES.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20" customWidth="1" min="2" max="2"/>
  </cols>
  <sheetData>
    <row r="1">
      <c r="A1" s="1" t="inlineStr">
        <is>
          <t>Fontes</t>
        </is>
      </c>
    </row>
    <row r="2">
      <c r="A2" s="2" t="inlineStr">
        <is>
          <t>Consultadas em 27/09/2026.</t>
        </is>
      </c>
    </row>
    <row r="4" ht="32" customHeight="1">
      <c r="A4" s="3" t="inlineStr">
        <is>
          <t>O que</t>
        </is>
      </c>
      <c r="B4" s="4" t="inlineStr">
        <is>
          <t>Link</t>
        </is>
      </c>
    </row>
    <row r="5">
      <c r="A5" s="5" t="inlineStr">
        <is>
          <t>GLOBOCAN 2022 · América Latina</t>
        </is>
      </c>
      <c r="B5" s="44" t="inlineStr">
        <is>
          <t>https://aacrjournals.org/cancerrescommun/article/5/12/2236/771224/Cancer-Incidence-and-Mortality-Estimates-in-Latin</t>
        </is>
      </c>
    </row>
    <row r="6">
      <c r="A6" s="5" t="inlineStr">
        <is>
          <t>Ministerio de Salud · 4 a 5 mulheres morrem por dia</t>
        </is>
      </c>
      <c r="B6" s="44" t="inlineStr">
        <is>
          <t>https://www.minsalud.gob.bo/8548-por-la-vida-de-las-mujeres-gobierno-fortalece-la-prevencion-y-atencion-del-cancer-cervico-uterino-con-servicios-gratuitos-en-todo-el-pais</t>
        </is>
      </c>
    </row>
    <row r="7">
      <c r="A7" s="5" t="inlineStr">
        <is>
          <t>Ministerio de Salud · custo da radioterapia e quimioterapia</t>
        </is>
      </c>
      <c r="B7" s="44" t="inlineStr">
        <is>
          <t>https://www.minsalud.gob.bo/8626-cancer-el-sus-convirtio-los-tratamientos-de-quimioterapia-y-radioterapia-de-bs-50-000-a-gratuitas</t>
        </is>
      </c>
    </row>
    <row r="8">
      <c r="A8" s="5" t="inlineStr">
        <is>
          <t>Defensoría del Pueblo · 35,5% dos casos em Santa Cruz</t>
        </is>
      </c>
      <c r="B8" s="44" t="inlineStr">
        <is>
          <t>https://www.defensoria.gob.bo/uploads/files/informe-cancer-cervico-uterino-y-de-mama.pdf</t>
        </is>
      </c>
    </row>
    <row r="9">
      <c r="A9" s="5" t="inlineStr">
        <is>
          <t>OPS · Plano para acelerar a eliminação 2026–2030</t>
        </is>
      </c>
      <c r="B9" s="44" t="inlineStr">
        <is>
          <t>https://www.paho.org/es/noticias/6-11-2025-futuro-sin-cancer-cuello-uterino-bolivia-presenta-su-plan-para-acelerar</t>
        </is>
      </c>
    </row>
    <row r="10">
      <c r="A10" s="5" t="inlineStr">
        <is>
          <t>Ronco et al., Lancet 2014 · VPH vs citologia</t>
        </is>
      </c>
      <c r="B10" s="44" t="inlineStr">
        <is>
          <t>https://pubmed.ncbi.nlm.nih.gov/24192252/</t>
        </is>
      </c>
    </row>
    <row r="11">
      <c r="A11" s="5" t="inlineStr">
        <is>
          <t>Guida et al., Nature Medicine 2022 · órfãos por câncer materno</t>
        </is>
      </c>
      <c r="B11" s="44" t="inlineStr">
        <is>
          <t>https://www.nature.com/articles/s41591-022-02109-2</t>
        </is>
      </c>
    </row>
    <row r="12">
      <c r="A12" s="5" t="inlineStr">
        <is>
          <t>Robinson, Hammitt e O'Keeffe 2019 · valor da vida em países de renda média-baixa</t>
        </is>
      </c>
      <c r="B12" s="44" t="inlineStr">
        <is>
          <t>https://www.cambridge.org/core/journals/journal-of-benefit-cost-analysis/article/valuing-mortality-risk-reductions-in-global-benefitcost-analysis/71252D2A48B3F2402DF209550C1945FA</t>
        </is>
      </c>
    </row>
    <row r="13">
      <c r="A13" s="5" t="inlineStr">
        <is>
          <t>BMC Health Services Research 2021 · tempo gasto em registros</t>
        </is>
      </c>
      <c r="B13" s="44" t="inlineStr">
        <is>
          <t>https://link.springer.com/article/10.1186/s12913-021-06652-5</t>
        </is>
      </c>
    </row>
    <row r="14">
      <c r="A14" s="5" t="inlineStr">
        <is>
          <t>Banco Mundial · RNB per capita da Bolívia</t>
        </is>
      </c>
      <c r="B14" s="44" t="inlineStr">
        <is>
          <t>https://data.worldbank.org/indicator/NY.GNP.PCAP.CD?locations=BO</t>
        </is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2026-09-27T13:21:24Z</dcterms:created>
  <dcterms:modified xmlns:dcterms="http://purl.org/dc/terms/" xmlns:xsi="http://www.w3.org/2001/XMLSchema-instance" xsi:type="dcterms:W3CDTF">2026-09-27T13:21:33Z</dcterms:modified>
</cp:coreProperties>
</file>