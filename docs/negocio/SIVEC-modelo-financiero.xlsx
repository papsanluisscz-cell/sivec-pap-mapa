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Escenarios" sheetId="2" state="visible" r:id="rId2"/>
    <sheet name="Métricas" sheetId="3" state="visible" r:id="rId3"/>
    <sheet name="Datos para oper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D2A4C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7D2A4C"/>
      </patternFill>
    </fill>
    <fill>
      <patternFill patternType="solid">
        <fgColor rgb="00F3EEF0"/>
      </patternFill>
    </fill>
    <fill>
      <patternFill patternType="solid">
        <fgColor rgb="00FFF4C2"/>
      </patternFill>
    </fill>
    <fill>
      <patternFill patternType="solid">
        <fgColor rgb="00DCF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0" fillId="4" borderId="0" pivotButton="0" quotePrefix="0" xfId="0"/>
    <xf numFmtId="9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3" fontId="0" fillId="4" borderId="0" pivotButton="0" quotePrefix="0" xfId="0"/>
    <xf numFmtId="3" fontId="0" fillId="3" borderId="0" pivotButton="0" quotePrefix="0" xfId="0"/>
    <xf numFmtId="3" fontId="3" fillId="3" borderId="0" pivotButton="0" quotePrefix="0" xfId="0"/>
    <xf numFmtId="3" fontId="3" fillId="5" borderId="0" pivotButton="0" quotePrefix="0" xfId="0"/>
    <xf numFmtId="9" fontId="0" fillId="3" borderId="0" pivotButton="0" quotePrefix="0" xfId="0"/>
    <xf numFmtId="4" fontId="0" fillId="3" borderId="0" pivotButton="0" quotePrefix="0" xfId="0"/>
    <xf numFmtId="0" fontId="0" fillId="5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40" customWidth="1" min="4" max="4"/>
  </cols>
  <sheetData>
    <row r="1">
      <c r="A1" s="1" t="inlineStr">
        <is>
          <t>SIVEC · Supuestos del modelo (celdas amarillas = editar)</t>
        </is>
      </c>
    </row>
    <row r="2">
      <c r="A2" t="inlineStr">
        <is>
          <t>Valores de referencia para negociar; validar con proveedores y con el cliente. Precios SIN impuestos.</t>
        </is>
      </c>
    </row>
    <row r="3">
      <c r="A3" s="2" t="inlineStr">
        <is>
          <t>Supuesto</t>
        </is>
      </c>
      <c r="B3" s="2" t="inlineStr">
        <is>
          <t>Valor</t>
        </is>
      </c>
      <c r="C3" s="2" t="inlineStr">
        <is>
          <t>Unidad</t>
        </is>
      </c>
      <c r="D3" s="2" t="inlineStr">
        <is>
          <t>Nota</t>
        </is>
      </c>
    </row>
    <row r="4">
      <c r="A4" s="3" t="inlineStr">
        <is>
          <t>General</t>
        </is>
      </c>
    </row>
    <row r="5">
      <c r="A5" t="inlineStr">
        <is>
          <t>Tipo de cambio Bs por US$</t>
        </is>
      </c>
      <c r="B5" s="4" t="n">
        <v>6.96</v>
      </c>
      <c r="C5" t="inlineStr">
        <is>
          <t>Bs/US$</t>
        </is>
      </c>
      <c r="D5" t="inlineStr">
        <is>
          <t>oficial; revisar</t>
        </is>
      </c>
    </row>
    <row r="6">
      <c r="A6" t="inlineStr">
        <is>
          <t>Impuestos sobre la factura (IVA 13% + IT 3%)</t>
        </is>
      </c>
      <c r="B6" s="5" t="n">
        <v>0.16</v>
      </c>
      <c r="C6" t="inlineStr">
        <is>
          <t>%</t>
        </is>
      </c>
      <c r="D6" t="inlineStr">
        <is>
          <t>se suman al precio al facturar</t>
        </is>
      </c>
    </row>
    <row r="7">
      <c r="A7" t="inlineStr">
        <is>
          <t>Impuesto a las utilidades (IUE)</t>
        </is>
      </c>
      <c r="B7" s="5" t="n">
        <v>0.25</v>
      </c>
      <c r="C7" t="inlineStr">
        <is>
          <t>%</t>
        </is>
      </c>
      <c r="D7" t="inlineStr"/>
    </row>
    <row r="8">
      <c r="A8" t="inlineStr">
        <is>
          <t>Días que tarda el Estado en pagar</t>
        </is>
      </c>
      <c r="B8" s="4" t="n">
        <v>90</v>
      </c>
      <c r="C8" t="inlineStr">
        <is>
          <t>días</t>
        </is>
      </c>
      <c r="D8" t="inlineStr">
        <is>
          <t>capital de trabajo necesario</t>
        </is>
      </c>
    </row>
    <row r="9">
      <c r="A9" s="3" t="inlineStr">
        <is>
          <t>Precio mensual por establecimiento (licencia + soporte + nube)</t>
        </is>
      </c>
    </row>
    <row r="10">
      <c r="A10" t="inlineStr">
        <is>
          <t>1er nivel (puesto / centro de salud)</t>
        </is>
      </c>
      <c r="B10" s="4" t="n">
        <v>180</v>
      </c>
      <c r="C10" t="inlineStr">
        <is>
          <t>US$/mes</t>
        </is>
      </c>
      <c r="D10" t="inlineStr">
        <is>
          <t>≈ Bs 1.250</t>
        </is>
      </c>
    </row>
    <row r="11">
      <c r="A11" t="inlineStr">
        <is>
          <t>2º nivel (hospital básico)</t>
        </is>
      </c>
      <c r="B11" s="4" t="n">
        <v>1400</v>
      </c>
      <c r="C11" t="inlineStr">
        <is>
          <t>US$/mes</t>
        </is>
      </c>
      <c r="D11" t="inlineStr"/>
    </row>
    <row r="12">
      <c r="A12" t="inlineStr">
        <is>
          <t>3er nivel (hospital de especialidades)</t>
        </is>
      </c>
      <c r="B12" s="4" t="n">
        <v>3800</v>
      </c>
      <c r="C12" t="inlineStr">
        <is>
          <t>US$/mes</t>
        </is>
      </c>
      <c r="D12" t="inlineStr"/>
    </row>
    <row r="13">
      <c r="A13" s="3" t="inlineStr">
        <is>
          <t>Implementación única por establecimiento (instalación, datos, capacitación)</t>
        </is>
      </c>
    </row>
    <row r="14">
      <c r="A14" t="inlineStr">
        <is>
          <t>1er nivel</t>
        </is>
      </c>
      <c r="B14" s="4" t="n">
        <v>600</v>
      </c>
      <c r="C14" t="inlineStr">
        <is>
          <t>US$</t>
        </is>
      </c>
      <c r="D14" t="inlineStr"/>
    </row>
    <row r="15">
      <c r="A15" t="inlineStr">
        <is>
          <t>2º nivel</t>
        </is>
      </c>
      <c r="B15" s="4" t="n">
        <v>6000</v>
      </c>
      <c r="C15" t="inlineStr">
        <is>
          <t>US$</t>
        </is>
      </c>
      <c r="D15" t="inlineStr"/>
    </row>
    <row r="16">
      <c r="A16" t="inlineStr">
        <is>
          <t>3er nivel</t>
        </is>
      </c>
      <c r="B16" s="4" t="n">
        <v>15000</v>
      </c>
      <c r="C16" t="inlineStr">
        <is>
          <t>US$</t>
        </is>
      </c>
      <c r="D16" t="inlineStr"/>
    </row>
    <row r="17">
      <c r="A17" s="3" t="inlineStr">
        <is>
          <t>Kit de equipos por establecimiento (opcional, lo puede comprar el Estado)</t>
        </is>
      </c>
    </row>
    <row r="18">
      <c r="A18" t="inlineStr">
        <is>
          <t>1er nivel: lector de huella, tablet, celular, impresora, TV de turnos</t>
        </is>
      </c>
      <c r="B18" s="4" t="n">
        <v>900</v>
      </c>
      <c r="C18" t="inlineStr">
        <is>
          <t>US$</t>
        </is>
      </c>
      <c r="D18" t="inlineStr"/>
    </row>
    <row r="19">
      <c r="A19" t="inlineStr">
        <is>
          <t>2º nivel: kits por servicio + carros de visita</t>
        </is>
      </c>
      <c r="B19" s="4" t="n">
        <v>9000</v>
      </c>
      <c r="C19" t="inlineStr">
        <is>
          <t>US$</t>
        </is>
      </c>
      <c r="D19" t="inlineStr"/>
    </row>
    <row r="20">
      <c r="A20" t="inlineStr">
        <is>
          <t>3er nivel</t>
        </is>
      </c>
      <c r="B20" s="4" t="n">
        <v>20000</v>
      </c>
      <c r="C20" t="inlineStr">
        <is>
          <t>US$</t>
        </is>
      </c>
      <c r="D20" t="inlineStr"/>
    </row>
    <row r="21">
      <c r="A21" s="3" t="inlineStr">
        <is>
          <t>Costo variable por establecimiento por mes</t>
        </is>
      </c>
    </row>
    <row r="22">
      <c r="A22" t="inlineStr">
        <is>
          <t>Nube / servidores — 1er nivel</t>
        </is>
      </c>
      <c r="B22" s="4" t="n">
        <v>8</v>
      </c>
      <c r="C22" t="inlineStr">
        <is>
          <t>US$/mes</t>
        </is>
      </c>
      <c r="D22" t="inlineStr"/>
    </row>
    <row r="23">
      <c r="A23" t="inlineStr">
        <is>
          <t>Nube / servidores — 2º nivel</t>
        </is>
      </c>
      <c r="B23" s="4" t="n">
        <v>60</v>
      </c>
      <c r="C23" t="inlineStr">
        <is>
          <t>US$/mes</t>
        </is>
      </c>
      <c r="D23" t="inlineStr"/>
    </row>
    <row r="24">
      <c r="A24" t="inlineStr">
        <is>
          <t>Nube / servidores — 3er nivel</t>
        </is>
      </c>
      <c r="B24" s="4" t="n">
        <v>150</v>
      </c>
      <c r="C24" t="inlineStr">
        <is>
          <t>US$/mes</t>
        </is>
      </c>
      <c r="D24" t="inlineStr"/>
    </row>
    <row r="25">
      <c r="A25" t="inlineStr">
        <is>
          <t>SMS — 1er nivel</t>
        </is>
      </c>
      <c r="B25" s="4" t="n">
        <v>10</v>
      </c>
      <c r="C25" t="inlineStr">
        <is>
          <t>US$/mes</t>
        </is>
      </c>
      <c r="D25" t="inlineStr">
        <is>
          <t>recordatorios, resultados</t>
        </is>
      </c>
    </row>
    <row r="26">
      <c r="A26" t="inlineStr">
        <is>
          <t>SMS — 2º nivel</t>
        </is>
      </c>
      <c r="B26" s="4" t="n">
        <v>60</v>
      </c>
      <c r="C26" t="inlineStr">
        <is>
          <t>US$/mes</t>
        </is>
      </c>
      <c r="D26" t="inlineStr"/>
    </row>
    <row r="27">
      <c r="A27" t="inlineStr">
        <is>
          <t>SMS — 3er nivel</t>
        </is>
      </c>
      <c r="B27" s="4" t="n">
        <v>150</v>
      </c>
      <c r="C27" t="inlineStr">
        <is>
          <t>US$/mes</t>
        </is>
      </c>
      <c r="D27" t="inlineStr"/>
    </row>
    <row r="28">
      <c r="A28" t="inlineStr">
        <is>
          <t>Soporte técnico local: 1 técnico cada N establecimientos (1er nivel equiv.)</t>
        </is>
      </c>
      <c r="B28" s="4" t="n">
        <v>60</v>
      </c>
      <c r="C28" t="inlineStr">
        <is>
          <t>estab.</t>
        </is>
      </c>
      <c r="D28" t="inlineStr">
        <is>
          <t>2º nivel = 8 equiv., 3er = 20</t>
        </is>
      </c>
    </row>
    <row r="29">
      <c r="A29" t="inlineStr">
        <is>
          <t>Sueldo técnico de soporte</t>
        </is>
      </c>
      <c r="B29" s="4" t="n">
        <v>900</v>
      </c>
      <c r="C29" t="inlineStr">
        <is>
          <t>US$/mes</t>
        </is>
      </c>
      <c r="D29" t="inlineStr"/>
    </row>
    <row r="30">
      <c r="A30" t="inlineStr">
        <is>
          <t>Capacitador: 1 cada N establecimientos en implantación</t>
        </is>
      </c>
      <c r="B30" s="4" t="n">
        <v>40</v>
      </c>
      <c r="C30" t="inlineStr">
        <is>
          <t>estab.</t>
        </is>
      </c>
      <c r="D30" t="inlineStr"/>
    </row>
    <row r="31">
      <c r="A31" t="inlineStr">
        <is>
          <t>Sueldo capacitador</t>
        </is>
      </c>
      <c r="B31" s="4" t="n">
        <v>900</v>
      </c>
      <c r="C31" t="inlineStr">
        <is>
          <t>US$/mes</t>
        </is>
      </c>
      <c r="D31" t="inlineStr"/>
    </row>
    <row r="32">
      <c r="A32" s="3" t="inlineStr">
        <is>
          <t>Equipo central fijo (US$/mes)</t>
        </is>
      </c>
    </row>
    <row r="33">
      <c r="A33" t="inlineStr">
        <is>
          <t>Desarrollo (4 programadores)</t>
        </is>
      </c>
      <c r="B33" s="4" t="n">
        <v>7200</v>
      </c>
      <c r="C33" t="inlineStr">
        <is>
          <t>US$/mes</t>
        </is>
      </c>
      <c r="D33" t="inlineStr"/>
    </row>
    <row r="34">
      <c r="A34" t="inlineStr">
        <is>
          <t>Calidad y pruebas (1)</t>
        </is>
      </c>
      <c r="B34" s="4" t="n">
        <v>1200</v>
      </c>
      <c r="C34" t="inlineStr">
        <is>
          <t>US$/mes</t>
        </is>
      </c>
      <c r="D34" t="inlineStr"/>
    </row>
    <row r="35">
      <c r="A35" t="inlineStr">
        <is>
          <t>Jefe de proyecto (1)</t>
        </is>
      </c>
      <c r="B35" s="4" t="n">
        <v>2000</v>
      </c>
      <c r="C35" t="inlineStr">
        <is>
          <t>US$/mes</t>
        </is>
      </c>
      <c r="D35" t="inlineStr"/>
    </row>
    <row r="36">
      <c r="A36" t="inlineStr">
        <is>
          <t>Dirección médica / producto</t>
        </is>
      </c>
      <c r="B36" s="4" t="n">
        <v>2500</v>
      </c>
      <c r="C36" t="inlineStr">
        <is>
          <t>US$/mes</t>
        </is>
      </c>
      <c r="D36" t="inlineStr"/>
    </row>
    <row r="37">
      <c r="A37" t="inlineStr">
        <is>
          <t>Seguridad, copias, dominio, herramientas</t>
        </is>
      </c>
      <c r="B37" s="4" t="n">
        <v>600</v>
      </c>
      <c r="C37" t="inlineStr">
        <is>
          <t>US$/mes</t>
        </is>
      </c>
      <c r="D37" t="inlineStr"/>
    </row>
    <row r="38">
      <c r="A38" t="inlineStr">
        <is>
          <t>Contabilidad y legal</t>
        </is>
      </c>
      <c r="B38" s="4" t="n">
        <v>800</v>
      </c>
      <c r="C38" t="inlineStr">
        <is>
          <t>US$/mes</t>
        </is>
      </c>
      <c r="D38" t="inlineStr"/>
    </row>
    <row r="39">
      <c r="A39" t="inlineStr">
        <is>
          <t>Comercial y relación con el gobierno</t>
        </is>
      </c>
      <c r="B39" s="4" t="n">
        <v>1500</v>
      </c>
      <c r="C39" t="inlineStr">
        <is>
          <t>US$/mes</t>
        </is>
      </c>
      <c r="D39" t="inlineStr"/>
    </row>
    <row r="40">
      <c r="A40" s="6" t="inlineStr">
        <is>
          <t>Total equipo central fijo</t>
        </is>
      </c>
      <c r="B40" s="7">
        <f>SUM(B33:B39)</f>
        <v/>
      </c>
      <c r="C40" t="inlineStr">
        <is>
          <t>US$/mes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4" customWidth="1" min="3" max="3"/>
    <col width="24" customWidth="1" min="4" max="4"/>
    <col width="22" customWidth="1" min="5" max="5"/>
  </cols>
  <sheetData>
    <row r="1">
      <c r="A1" s="1" t="inlineStr">
        <is>
          <t>SIVEC · Escenarios (número de establecimientos aproximado — validar con el RUES / SNIS)</t>
        </is>
      </c>
    </row>
    <row r="3">
      <c r="A3" s="2" t="inlineStr">
        <is>
          <t>Concepto</t>
        </is>
      </c>
      <c r="B3" s="2" t="inlineStr">
        <is>
          <t>Piloto · Red Centro</t>
        </is>
      </c>
      <c r="C3" s="2" t="inlineStr">
        <is>
          <t>Municipio Santa Cruz de la Sierra</t>
        </is>
      </c>
      <c r="D3" s="2" t="inlineStr">
        <is>
          <t>Departamento de Santa Cruz</t>
        </is>
      </c>
      <c r="E3" s="2" t="inlineStr">
        <is>
          <t>Bolivia (nacional)</t>
        </is>
      </c>
    </row>
    <row r="4">
      <c r="A4" t="inlineStr">
        <is>
          <t>Establecimientos 1er nivel</t>
        </is>
      </c>
      <c r="B4" s="8" t="n">
        <v>25</v>
      </c>
      <c r="C4" s="8" t="n">
        <v>110</v>
      </c>
      <c r="D4" s="8" t="n">
        <v>620</v>
      </c>
      <c r="E4" s="8" t="n">
        <v>3600</v>
      </c>
    </row>
    <row r="5">
      <c r="A5" t="inlineStr">
        <is>
          <t>Establecimientos 2º nivel</t>
        </is>
      </c>
      <c r="B5" s="8" t="n">
        <v>1</v>
      </c>
      <c r="C5" s="8" t="n">
        <v>10</v>
      </c>
      <c r="D5" s="8" t="n">
        <v>45</v>
      </c>
      <c r="E5" s="8" t="n">
        <v>220</v>
      </c>
    </row>
    <row r="6">
      <c r="A6" t="inlineStr">
        <is>
          <t>Establecimientos 3er nivel</t>
        </is>
      </c>
      <c r="B6" s="8" t="n">
        <v>0</v>
      </c>
      <c r="C6" s="8" t="n">
        <v>6</v>
      </c>
      <c r="D6" s="8" t="n">
        <v>12</v>
      </c>
      <c r="E6" s="8" t="n">
        <v>60</v>
      </c>
    </row>
    <row r="7">
      <c r="A7" t="inlineStr">
        <is>
          <t>Población cubierta (habitantes)</t>
        </is>
      </c>
      <c r="B7" s="8" t="n">
        <v>180000</v>
      </c>
      <c r="C7" s="8" t="n">
        <v>1700000</v>
      </c>
      <c r="D7" s="8" t="n">
        <v>3400000</v>
      </c>
      <c r="E7" s="8" t="n">
        <v>12200000</v>
      </c>
    </row>
    <row r="9">
      <c r="A9" t="inlineStr">
        <is>
          <t>Establecimientos equivalentes (1er=1, 2º=8, 3er=20)</t>
        </is>
      </c>
      <c r="B9" s="9">
        <f>B4+8*B5+20*B6</f>
        <v/>
      </c>
      <c r="C9" s="9">
        <f>C4+8*C5+20*C6</f>
        <v/>
      </c>
      <c r="D9" s="9">
        <f>D4+8*D5+20*D6</f>
        <v/>
      </c>
      <c r="E9" s="9">
        <f>E4+8*E5+20*E6</f>
        <v/>
      </c>
    </row>
    <row r="10">
      <c r="A10" s="6" t="inlineStr">
        <is>
          <t>INGRESO MENSUAL (US$, sin impuestos)</t>
        </is>
      </c>
      <c r="B10" s="10">
        <f>B4*Supuestos!$B$10+B5*Supuestos!$B$11+B6*Supuestos!$B$12</f>
        <v/>
      </c>
      <c r="C10" s="10">
        <f>C4*Supuestos!$B$10+C5*Supuestos!$B$11+C6*Supuestos!$B$12</f>
        <v/>
      </c>
      <c r="D10" s="10">
        <f>D4*Supuestos!$B$10+D5*Supuestos!$B$11+D6*Supuestos!$B$12</f>
        <v/>
      </c>
      <c r="E10" s="10">
        <f>E4*Supuestos!$B$10+E5*Supuestos!$B$11+E6*Supuestos!$B$12</f>
        <v/>
      </c>
    </row>
    <row r="11">
      <c r="A11" t="inlineStr">
        <is>
          <t>Ingreso mensual en Bs</t>
        </is>
      </c>
      <c r="B11" s="9">
        <f>B10*Supuestos!$B$5</f>
        <v/>
      </c>
      <c r="C11" s="9">
        <f>C10*Supuestos!$B$5</f>
        <v/>
      </c>
      <c r="D11" s="9">
        <f>D10*Supuestos!$B$5</f>
        <v/>
      </c>
      <c r="E11" s="9">
        <f>E10*Supuestos!$B$5</f>
        <v/>
      </c>
    </row>
    <row r="12">
      <c r="A12" t="inlineStr">
        <is>
          <t>Ingreso anual (US$)</t>
        </is>
      </c>
      <c r="B12" s="9">
        <f>B10*12</f>
        <v/>
      </c>
      <c r="C12" s="9">
        <f>C10*12</f>
        <v/>
      </c>
      <c r="D12" s="9">
        <f>D10*12</f>
        <v/>
      </c>
      <c r="E12" s="9">
        <f>E10*12</f>
        <v/>
      </c>
    </row>
    <row r="13">
      <c r="A13" t="inlineStr">
        <is>
          <t>Factura mensual al Estado con impuestos (US$)</t>
        </is>
      </c>
      <c r="B13" s="9">
        <f>B10*(1+Supuestos!$B$6)</f>
        <v/>
      </c>
      <c r="C13" s="9">
        <f>C10*(1+Supuestos!$B$6)</f>
        <v/>
      </c>
      <c r="D13" s="9">
        <f>D10*(1+Supuestos!$B$6)</f>
        <v/>
      </c>
      <c r="E13" s="9">
        <f>E10*(1+Supuestos!$B$6)</f>
        <v/>
      </c>
    </row>
    <row r="14">
      <c r="A14" t="inlineStr">
        <is>
          <t>Costo variable nube + SMS (US$/mes)</t>
        </is>
      </c>
      <c r="B14" s="9">
        <f>B4*(Supuestos!$B$22+Supuestos!$B$25)+B5*(Supuestos!$B$23+Supuestos!$B$26)+B6*(Supuestos!$B$24+Supuestos!$B$27)</f>
        <v/>
      </c>
      <c r="C14" s="9">
        <f>C4*(Supuestos!$B$22+Supuestos!$B$25)+C5*(Supuestos!$B$23+Supuestos!$B$26)+C6*(Supuestos!$B$24+Supuestos!$B$27)</f>
        <v/>
      </c>
      <c r="D14" s="9">
        <f>D4*(Supuestos!$B$22+Supuestos!$B$25)+D5*(Supuestos!$B$23+Supuestos!$B$26)+D6*(Supuestos!$B$24+Supuestos!$B$27)</f>
        <v/>
      </c>
      <c r="E14" s="9">
        <f>E4*(Supuestos!$B$22+Supuestos!$B$25)+E5*(Supuestos!$B$23+Supuestos!$B$26)+E6*(Supuestos!$B$24+Supuestos!$B$27)</f>
        <v/>
      </c>
    </row>
    <row r="15">
      <c r="A15" t="inlineStr">
        <is>
          <t>Soporte técnico local (US$/mes)</t>
        </is>
      </c>
      <c r="B15" s="9">
        <f>ROUNDUP(B9/Supuestos!$B$28,0)*Supuestos!$B$29</f>
        <v/>
      </c>
      <c r="C15" s="9">
        <f>ROUNDUP(C9/Supuestos!$B$28,0)*Supuestos!$B$29</f>
        <v/>
      </c>
      <c r="D15" s="9">
        <f>ROUNDUP(D9/Supuestos!$B$28,0)*Supuestos!$B$29</f>
        <v/>
      </c>
      <c r="E15" s="9">
        <f>ROUNDUP(E9/Supuestos!$B$28,0)*Supuestos!$B$29</f>
        <v/>
      </c>
    </row>
    <row r="16">
      <c r="A16" t="inlineStr">
        <is>
          <t>Equipo central fijo (US$/mes)</t>
        </is>
      </c>
      <c r="B16" s="9">
        <f>Supuestos!$B$40*IF(B9&gt;300,2.5,IF(B9&gt;100,1.5,1))</f>
        <v/>
      </c>
      <c r="C16" s="9">
        <f>Supuestos!$B$40*IF(C9&gt;300,2.5,IF(C9&gt;100,1.5,1))</f>
        <v/>
      </c>
      <c r="D16" s="9">
        <f>Supuestos!$B$40*IF(D9&gt;300,2.5,IF(D9&gt;100,1.5,1))</f>
        <v/>
      </c>
      <c r="E16" s="9">
        <f>Supuestos!$B$40*IF(E9&gt;300,2.5,IF(E9&gt;100,1.5,1))</f>
        <v/>
      </c>
    </row>
    <row r="17">
      <c r="A17" s="6" t="inlineStr">
        <is>
          <t>COSTO MENSUAL TOTAL (US$)</t>
        </is>
      </c>
      <c r="B17" s="10">
        <f>B14+B15+B16</f>
        <v/>
      </c>
      <c r="C17" s="10">
        <f>C14+C15+C16</f>
        <v/>
      </c>
      <c r="D17" s="10">
        <f>D14+D15+D16</f>
        <v/>
      </c>
      <c r="E17" s="10">
        <f>E14+E15+E16</f>
        <v/>
      </c>
    </row>
    <row r="18">
      <c r="A18" s="6" t="inlineStr">
        <is>
          <t>MARGEN MENSUAL ANTES DE IMPUESTOS (US$)</t>
        </is>
      </c>
      <c r="B18" s="11">
        <f>B10-B17</f>
        <v/>
      </c>
      <c r="C18" s="11">
        <f>C10-C17</f>
        <v/>
      </c>
      <c r="D18" s="11">
        <f>D10-D17</f>
        <v/>
      </c>
      <c r="E18" s="11">
        <f>E10-E17</f>
        <v/>
      </c>
    </row>
    <row r="19">
      <c r="A19" t="inlineStr">
        <is>
          <t>Margen %</t>
        </is>
      </c>
      <c r="B19" s="12">
        <f>IF(B10=0,0,B18/B10)</f>
        <v/>
      </c>
      <c r="C19" s="12">
        <f>IF(C10=0,0,C18/C10)</f>
        <v/>
      </c>
      <c r="D19" s="12">
        <f>IF(D10=0,0,D18/D10)</f>
        <v/>
      </c>
      <c r="E19" s="12">
        <f>IF(E10=0,0,E18/E10)</f>
        <v/>
      </c>
    </row>
    <row r="20">
      <c r="A20" t="inlineStr">
        <is>
          <t>Utilidad neta mensual después de IUE (US$)</t>
        </is>
      </c>
      <c r="B20" s="9">
        <f>IF(B18&gt;0,B18*(1-Supuestos!$B$7),B18)</f>
        <v/>
      </c>
      <c r="C20" s="9">
        <f>IF(C18&gt;0,C18*(1-Supuestos!$B$7),C18)</f>
        <v/>
      </c>
      <c r="D20" s="9">
        <f>IF(D18&gt;0,D18*(1-Supuestos!$B$7),D18)</f>
        <v/>
      </c>
      <c r="E20" s="9">
        <f>IF(E18&gt;0,E18*(1-Supuestos!$B$7),E18)</f>
        <v/>
      </c>
    </row>
    <row r="21">
      <c r="A21" t="inlineStr">
        <is>
          <t>Implementación única (US$)</t>
        </is>
      </c>
      <c r="B21" s="9">
        <f>B4*Supuestos!$B$14+B5*Supuestos!$B$15+B6*Supuestos!$B$20</f>
        <v/>
      </c>
      <c r="C21" s="9">
        <f>C4*Supuestos!$B$14+C5*Supuestos!$B$15+C6*Supuestos!$B$20</f>
        <v/>
      </c>
      <c r="D21" s="9">
        <f>D4*Supuestos!$B$14+D5*Supuestos!$B$15+D6*Supuestos!$B$20</f>
        <v/>
      </c>
      <c r="E21" s="9">
        <f>E4*Supuestos!$B$14+E5*Supuestos!$B$15+E6*Supuestos!$B$20</f>
        <v/>
      </c>
    </row>
    <row r="22">
      <c r="A22" t="inlineStr">
        <is>
          <t>Kit de equipos opcional (US$)</t>
        </is>
      </c>
      <c r="B22" s="9">
        <f>B4*Supuestos!$B$18+B5*Supuestos!$B$19+B6*Supuestos!$B$20</f>
        <v/>
      </c>
      <c r="C22" s="9">
        <f>C4*Supuestos!$B$18+C5*Supuestos!$B$19+C6*Supuestos!$B$20</f>
        <v/>
      </c>
      <c r="D22" s="9">
        <f>D4*Supuestos!$B$18+D5*Supuestos!$B$19+D6*Supuestos!$B$20</f>
        <v/>
      </c>
      <c r="E22" s="9">
        <f>E4*Supuestos!$B$18+E5*Supuestos!$B$19+E6*Supuestos!$B$20</f>
        <v/>
      </c>
    </row>
    <row r="23">
      <c r="A23" t="inlineStr">
        <is>
          <t>Capacitadores durante 6 meses de implantación (US$)</t>
        </is>
      </c>
      <c r="B23" s="9">
        <f>ROUNDUP((B4+B5+B6)/Supuestos!$B$30,0)*Supuestos!$B$31*6</f>
        <v/>
      </c>
      <c r="C23" s="9">
        <f>ROUNDUP((C4+C5+C6)/Supuestos!$B$30,0)*Supuestos!$B$31*6</f>
        <v/>
      </c>
      <c r="D23" s="9">
        <f>ROUNDUP((D4+D5+D6)/Supuestos!$B$30,0)*Supuestos!$B$31*6</f>
        <v/>
      </c>
      <c r="E23" s="9">
        <f>ROUNDUP((E4+E5+E6)/Supuestos!$B$30,0)*Supuestos!$B$31*6</f>
        <v/>
      </c>
    </row>
    <row r="24">
      <c r="A24" t="inlineStr">
        <is>
          <t>Capital de trabajo por atraso de pago (US$)</t>
        </is>
      </c>
      <c r="B24" s="9">
        <f>B17*Supuestos!$B$8/30</f>
        <v/>
      </c>
      <c r="C24" s="9">
        <f>C17*Supuestos!$B$8/30</f>
        <v/>
      </c>
      <c r="D24" s="9">
        <f>D17*Supuestos!$B$8/30</f>
        <v/>
      </c>
      <c r="E24" s="9">
        <f>E17*Supuestos!$B$8/30</f>
        <v/>
      </c>
    </row>
    <row r="25">
      <c r="A25" t="inlineStr">
        <is>
          <t>Costo por establecimiento equivalente (US$/mes)</t>
        </is>
      </c>
      <c r="B25" s="13">
        <f>IF(B9=0,0,B17/B9)</f>
        <v/>
      </c>
      <c r="C25" s="13">
        <f>IF(C9=0,0,C17/C9)</f>
        <v/>
      </c>
      <c r="D25" s="13">
        <f>IF(D9=0,0,D17/D9)</f>
        <v/>
      </c>
      <c r="E25" s="13">
        <f>IF(E9=0,0,E17/E9)</f>
        <v/>
      </c>
    </row>
    <row r="26">
      <c r="A26" t="inlineStr">
        <is>
          <t>Costo para el Estado por habitante por año (US$)</t>
        </is>
      </c>
      <c r="B26" s="13">
        <f>IF(B7=0,0,B12/B7)</f>
        <v/>
      </c>
      <c r="C26" s="13">
        <f>IF(C7=0,0,C12/C7)</f>
        <v/>
      </c>
      <c r="D26" s="13">
        <f>IF(D7=0,0,D12/D7)</f>
        <v/>
      </c>
      <c r="E26" s="13">
        <f>IF(E7=0,0,E12/E7)</f>
        <v/>
      </c>
    </row>
    <row r="27">
      <c r="A27" t="inlineStr">
        <is>
          <t>Costo por habitante por mes (Bs)</t>
        </is>
      </c>
      <c r="B27" s="13">
        <f>IF(B7=0,0,B10BS/B7)</f>
        <v/>
      </c>
      <c r="C27" s="13">
        <f>IF(C7=0,0,C10BS/C7)</f>
        <v/>
      </c>
      <c r="D27" s="13">
        <f>IF(D7=0,0,D10BS/D7)</f>
        <v/>
      </c>
      <c r="E27" s="13">
        <f>IF(E7=0,0,E10BS/E7)</f>
        <v/>
      </c>
    </row>
    <row r="29">
      <c r="A29" s="6" t="inlineStr">
        <is>
          <t>Punto de equilibrio: establecimientos de 1er nivel necesarios para pagar el equipo central</t>
        </is>
      </c>
      <c r="B29" s="14">
        <f>ROUNDUP(Supuestos!$B$40/(Supuestos!$B$10-Supuestos!$B$22-Supuestos!$B$25-Supuestos!$B$29/Supuestos!$B$28),0)</f>
        <v/>
      </c>
    </row>
    <row r="31">
      <c r="A31" s="6" t="inlineStr">
        <is>
          <t>Alternativa: precio global por habitante</t>
        </is>
      </c>
    </row>
    <row r="32">
      <c r="A32" t="inlineStr">
        <is>
          <t>Precio por habitante por año (US$)</t>
        </is>
      </c>
      <c r="B32" s="4" t="n">
        <v>1.2</v>
      </c>
    </row>
    <row r="33">
      <c r="A33" t="inlineStr">
        <is>
          <t>Contrato anual a precio global (US$)</t>
        </is>
      </c>
      <c r="B33" s="9">
        <f>B7*$B$32</f>
        <v/>
      </c>
      <c r="C33" s="9">
        <f>C7*$B$32</f>
        <v/>
      </c>
      <c r="D33" s="9">
        <f>D7*$B$32</f>
        <v/>
      </c>
      <c r="E33" s="9">
        <f>E7*$B$32</f>
        <v/>
      </c>
    </row>
    <row r="35">
      <c r="A35" t="inlineStr">
        <is>
          <t>Referencia: gasto total en salud de Bolivia ≈ US$ 3.000 millones/año (aprox., validar). SIVEC nacional como % de ese gasto:</t>
        </is>
      </c>
      <c r="E35" s="15">
        <f>E12/3000000000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6" customWidth="1" min="3" max="3"/>
    <col width="26" customWidth="1" min="4" max="4"/>
    <col width="14" customWidth="1" min="5" max="5"/>
  </cols>
  <sheetData>
    <row r="1">
      <c r="A1" s="1" t="inlineStr">
        <is>
          <t>SIVEC · Métricas para operar el negocio y demostrar el cambio</t>
        </is>
      </c>
    </row>
    <row r="3">
      <c r="A3" s="2" t="inlineStr">
        <is>
          <t>Área</t>
        </is>
      </c>
      <c r="B3" s="2" t="inlineStr">
        <is>
          <t>Métrica</t>
        </is>
      </c>
      <c r="C3" s="2" t="inlineStr">
        <is>
          <t>Cómo se calcula</t>
        </is>
      </c>
      <c r="D3" s="2" t="inlineStr">
        <is>
          <t>Meta</t>
        </is>
      </c>
      <c r="E3" s="2" t="inlineStr">
        <is>
          <t>Frecuencia</t>
        </is>
      </c>
    </row>
    <row r="4">
      <c r="A4" s="16" t="inlineStr">
        <is>
          <t>Financiera</t>
        </is>
      </c>
      <c r="B4" s="16" t="inlineStr">
        <is>
          <t>MRR (ingreso mensual recurrente)</t>
        </is>
      </c>
      <c r="C4" s="16" t="inlineStr">
        <is>
          <t>suma de licencias activas</t>
        </is>
      </c>
      <c r="D4" s="16" t="inlineStr">
        <is>
          <t>crece según fases</t>
        </is>
      </c>
      <c r="E4" s="16" t="inlineStr">
        <is>
          <t>mensual</t>
        </is>
      </c>
    </row>
    <row r="5">
      <c r="A5" s="16" t="inlineStr">
        <is>
          <t>Financiera</t>
        </is>
      </c>
      <c r="B5" s="16" t="inlineStr">
        <is>
          <t>ARR (ingreso anual recurrente)</t>
        </is>
      </c>
      <c r="C5" s="16" t="inlineStr">
        <is>
          <t>MRR × 12</t>
        </is>
      </c>
      <c r="D5" s="16" t="inlineStr">
        <is>
          <t>—</t>
        </is>
      </c>
      <c r="E5" s="16" t="inlineStr">
        <is>
          <t>mensual</t>
        </is>
      </c>
    </row>
    <row r="6">
      <c r="A6" s="16" t="inlineStr">
        <is>
          <t>Financiera</t>
        </is>
      </c>
      <c r="B6" s="16" t="inlineStr">
        <is>
          <t>Margen bruto</t>
        </is>
      </c>
      <c r="C6" s="16" t="inlineStr">
        <is>
          <t>(ingreso − nube − SMS − soporte) / ingreso</t>
        </is>
      </c>
      <c r="D6" s="16" t="inlineStr">
        <is>
          <t>≥ 70%</t>
        </is>
      </c>
      <c r="E6" s="16" t="inlineStr">
        <is>
          <t>mensual</t>
        </is>
      </c>
    </row>
    <row r="7">
      <c r="A7" s="16" t="inlineStr">
        <is>
          <t>Financiera</t>
        </is>
      </c>
      <c r="B7" s="16" t="inlineStr">
        <is>
          <t>Margen operativo (EBITDA)</t>
        </is>
      </c>
      <c r="C7" s="16" t="inlineStr">
        <is>
          <t>ingreso − todos los costos operativos</t>
        </is>
      </c>
      <c r="D7" s="16" t="inlineStr">
        <is>
          <t>≥ 25% desde el año 2</t>
        </is>
      </c>
      <c r="E7" s="16" t="inlineStr">
        <is>
          <t>mensual</t>
        </is>
      </c>
    </row>
    <row r="8">
      <c r="A8" s="16" t="inlineStr">
        <is>
          <t>Financiera</t>
        </is>
      </c>
      <c r="B8" s="16" t="inlineStr">
        <is>
          <t>Costo de servir por establecimiento</t>
        </is>
      </c>
      <c r="C8" s="16" t="inlineStr">
        <is>
          <t>costos variables + soporte / establecimientos</t>
        </is>
      </c>
      <c r="D8" s="16" t="inlineStr">
        <is>
          <t>&lt; 35% del precio</t>
        </is>
      </c>
      <c r="E8" s="16" t="inlineStr">
        <is>
          <t>mensual</t>
        </is>
      </c>
    </row>
    <row r="9">
      <c r="A9" s="16" t="inlineStr">
        <is>
          <t>Financiera</t>
        </is>
      </c>
      <c r="B9" s="16" t="inlineStr">
        <is>
          <t>Días de cobro (DSO)</t>
        </is>
      </c>
      <c r="C9" s="16" t="inlineStr">
        <is>
          <t>cuentas por cobrar / ingreso diario</t>
        </is>
      </c>
      <c r="D9" s="16" t="inlineStr">
        <is>
          <t>≤ 90 días</t>
        </is>
      </c>
      <c r="E9" s="16" t="inlineStr">
        <is>
          <t>mensual</t>
        </is>
      </c>
    </row>
    <row r="10">
      <c r="A10" s="16" t="inlineStr">
        <is>
          <t>Financiera</t>
        </is>
      </c>
      <c r="B10" s="16" t="inlineStr">
        <is>
          <t>Caja disponible en meses</t>
        </is>
      </c>
      <c r="C10" s="16" t="inlineStr">
        <is>
          <t>caja / costo mensual</t>
        </is>
      </c>
      <c r="D10" s="16" t="inlineStr">
        <is>
          <t>≥ 4 meses</t>
        </is>
      </c>
      <c r="E10" s="16" t="inlineStr">
        <is>
          <t>mensual</t>
        </is>
      </c>
    </row>
    <row r="11">
      <c r="A11" s="16" t="inlineStr">
        <is>
          <t>Financiera</t>
        </is>
      </c>
      <c r="B11" s="16" t="inlineStr">
        <is>
          <t>Renovación de contratos</t>
        </is>
      </c>
      <c r="C11" s="16" t="inlineStr">
        <is>
          <t>contratos renovados / contratos que vencen</t>
        </is>
      </c>
      <c r="D11" s="16" t="inlineStr">
        <is>
          <t>≥ 90%</t>
        </is>
      </c>
      <c r="E11" s="16" t="inlineStr">
        <is>
          <t>anual</t>
        </is>
      </c>
    </row>
    <row r="12">
      <c r="A12" s="16" t="inlineStr">
        <is>
          <t>Financiera</t>
        </is>
      </c>
      <c r="B12" s="16" t="inlineStr">
        <is>
          <t>Costo de adquisición por red (CAC)</t>
        </is>
      </c>
      <c r="C12" s="16" t="inlineStr">
        <is>
          <t>gasto comercial / redes nuevas</t>
        </is>
      </c>
      <c r="D12" s="16" t="inlineStr">
        <is>
          <t>recuperado en &lt; 12 meses</t>
        </is>
      </c>
      <c r="E12" s="16" t="inlineStr">
        <is>
          <t>trimestral</t>
        </is>
      </c>
    </row>
    <row r="13">
      <c r="A13" s="16" t="inlineStr">
        <is>
          <t>Operación</t>
        </is>
      </c>
      <c r="B13" s="16" t="inlineStr">
        <is>
          <t>Disponibilidad del sistema</t>
        </is>
      </c>
      <c r="C13" s="16" t="inlineStr">
        <is>
          <t>minutos en línea / minutos del mes</t>
        </is>
      </c>
      <c r="D13" s="16" t="inlineStr">
        <is>
          <t>≥ 99,5%</t>
        </is>
      </c>
      <c r="E13" s="16" t="inlineStr">
        <is>
          <t>mensual</t>
        </is>
      </c>
    </row>
    <row r="14">
      <c r="A14" s="16" t="inlineStr">
        <is>
          <t>Operación</t>
        </is>
      </c>
      <c r="B14" s="16" t="inlineStr">
        <is>
          <t>Tiempo de respuesta a incidentes críticos</t>
        </is>
      </c>
      <c r="C14" s="16" t="inlineStr">
        <is>
          <t>hora aviso → hora solución</t>
        </is>
      </c>
      <c r="D14" s="16" t="inlineStr">
        <is>
          <t>&lt; 4 h</t>
        </is>
      </c>
      <c r="E14" s="16" t="inlineStr">
        <is>
          <t>semanal</t>
        </is>
      </c>
    </row>
    <row r="15">
      <c r="A15" s="16" t="inlineStr">
        <is>
          <t>Operación</t>
        </is>
      </c>
      <c r="B15" s="16" t="inlineStr">
        <is>
          <t>Tickets por establecimiento</t>
        </is>
      </c>
      <c r="C15" s="16" t="inlineStr">
        <is>
          <t>tickets / establecimientos</t>
        </is>
      </c>
      <c r="D15" s="16" t="inlineStr">
        <is>
          <t>bajando mes a mes</t>
        </is>
      </c>
      <c r="E15" s="16" t="inlineStr">
        <is>
          <t>mensual</t>
        </is>
      </c>
    </row>
    <row r="16">
      <c r="A16" s="16" t="inlineStr">
        <is>
          <t>Operación</t>
        </is>
      </c>
      <c r="B16" s="16" t="inlineStr">
        <is>
          <t>Copias de seguridad verificadas</t>
        </is>
      </c>
      <c r="C16" s="16" t="inlineStr">
        <is>
          <t>restauraciones de prueba exitosas</t>
        </is>
      </c>
      <c r="D16" s="16" t="inlineStr">
        <is>
          <t>1 por semana</t>
        </is>
      </c>
      <c r="E16" s="16" t="inlineStr">
        <is>
          <t>semanal</t>
        </is>
      </c>
    </row>
    <row r="17">
      <c r="A17" s="16" t="inlineStr">
        <is>
          <t>Operación</t>
        </is>
      </c>
      <c r="B17" s="16" t="inlineStr">
        <is>
          <t>Incidentes de seguridad de datos</t>
        </is>
      </c>
      <c r="C17" s="16" t="inlineStr">
        <is>
          <t>conteo</t>
        </is>
      </c>
      <c r="D17" s="16" t="inlineStr">
        <is>
          <t>0</t>
        </is>
      </c>
      <c r="E17" s="16" t="inlineStr">
        <is>
          <t>mensual</t>
        </is>
      </c>
    </row>
    <row r="18">
      <c r="A18" s="16" t="inlineStr">
        <is>
          <t>Adopción</t>
        </is>
      </c>
      <c r="B18" s="16" t="inlineStr">
        <is>
          <t>Establecimientos activos</t>
        </is>
      </c>
      <c r="C18" s="16" t="inlineStr">
        <is>
          <t>con registros cada día hábil</t>
        </is>
      </c>
      <c r="D18" s="16" t="inlineStr">
        <is>
          <t>100% de los contratados</t>
        </is>
      </c>
      <c r="E18" s="16" t="inlineStr">
        <is>
          <t>diaria</t>
        </is>
      </c>
    </row>
    <row r="19">
      <c r="A19" s="16" t="inlineStr">
        <is>
          <t>Adopción</t>
        </is>
      </c>
      <c r="B19" s="16" t="inlineStr">
        <is>
          <t>Consultas registradas en SIVEC / consultas reales</t>
        </is>
      </c>
      <c r="C19" s="16" t="inlineStr">
        <is>
          <t>registro digital / producción SNIS</t>
        </is>
      </c>
      <c r="D19" s="16" t="inlineStr">
        <is>
          <t>≥ 95% al 3er mes</t>
        </is>
      </c>
      <c r="E19" s="16" t="inlineStr">
        <is>
          <t>mensual</t>
        </is>
      </c>
    </row>
    <row r="20">
      <c r="A20" s="16" t="inlineStr">
        <is>
          <t>Adopción</t>
        </is>
      </c>
      <c r="B20" s="16" t="inlineStr">
        <is>
          <t>Personal capacitado</t>
        </is>
      </c>
      <c r="C20" s="16" t="inlineStr">
        <is>
          <t>capacitados / personal total</t>
        </is>
      </c>
      <c r="D20" s="16" t="inlineStr">
        <is>
          <t>100%</t>
        </is>
      </c>
      <c r="E20" s="16" t="inlineStr">
        <is>
          <t>mensual</t>
        </is>
      </c>
    </row>
    <row r="21">
      <c r="A21" s="16" t="inlineStr">
        <is>
          <t>Adopción</t>
        </is>
      </c>
      <c r="B21" s="16" t="inlineStr">
        <is>
          <t>Satisfacción de usuarios (NPS)</t>
        </is>
      </c>
      <c r="C21" s="16" t="inlineStr">
        <is>
          <t>encuesta breve en el sistema</t>
        </is>
      </c>
      <c r="D21" s="16" t="inlineStr">
        <is>
          <t>≥ 40</t>
        </is>
      </c>
      <c r="E21" s="16" t="inlineStr">
        <is>
          <t>trimestral</t>
        </is>
      </c>
    </row>
    <row r="22">
      <c r="A22" s="16" t="inlineStr">
        <is>
          <t>Impacto (para el gobierno)</t>
        </is>
      </c>
      <c r="B22" s="16" t="inlineStr">
        <is>
          <t>Tiempo de espera de una referencia</t>
        </is>
      </c>
      <c r="C22" s="16" t="inlineStr">
        <is>
          <t>derivar → atendido</t>
        </is>
      </c>
      <c r="D22" s="16" t="inlineStr">
        <is>
          <t>−50% al año</t>
        </is>
      </c>
      <c r="E22" s="16" t="inlineStr">
        <is>
          <t>mensual</t>
        </is>
      </c>
    </row>
    <row r="23">
      <c r="A23" s="16" t="inlineStr">
        <is>
          <t>Impacto (para el gobierno)</t>
        </is>
      </c>
      <c r="B23" s="16" t="inlineStr">
        <is>
          <t>Resultados PAP con seguimiento completo</t>
        </is>
      </c>
      <c r="C23" s="16" t="inlineStr">
        <is>
          <t>positivas tratadas / positivas</t>
        </is>
      </c>
      <c r="D23" s="16" t="inlineStr">
        <is>
          <t>≥ 90%</t>
        </is>
      </c>
      <c r="E23" s="16" t="inlineStr">
        <is>
          <t>mensual</t>
        </is>
      </c>
    </row>
    <row r="24">
      <c r="A24" s="16" t="inlineStr">
        <is>
          <t>Impacto (para el gobierno)</t>
        </is>
      </c>
      <c r="B24" s="16" t="inlineStr">
        <is>
          <t>Notificación epidemiológica en &lt; 24 h</t>
        </is>
      </c>
      <c r="C24" s="16" t="inlineStr">
        <is>
          <t>casos a tiempo / casos</t>
        </is>
      </c>
      <c r="D24" s="16" t="inlineStr">
        <is>
          <t>≥ 90%</t>
        </is>
      </c>
      <c r="E24" s="16" t="inlineStr">
        <is>
          <t>semanal</t>
        </is>
      </c>
    </row>
    <row r="25">
      <c r="A25" s="16" t="inlineStr">
        <is>
          <t>Impacto (para el gobierno)</t>
        </is>
      </c>
      <c r="B25" s="16" t="inlineStr">
        <is>
          <t>Disponibilidad de medicamentos trazadores</t>
        </is>
      </c>
      <c r="C25" s="16" t="inlineStr">
        <is>
          <t>trazadores con stock / trazadores</t>
        </is>
      </c>
      <c r="D25" s="16" t="inlineStr">
        <is>
          <t>≥ 95%</t>
        </is>
      </c>
      <c r="E25" s="16" t="inlineStr">
        <is>
          <t>mensual</t>
        </is>
      </c>
    </row>
    <row r="26">
      <c r="A26" s="16" t="inlineStr">
        <is>
          <t>Impacto (para el gobierno)</t>
        </is>
      </c>
      <c r="B26" s="16" t="inlineStr">
        <is>
          <t>Informes SNIS automáticos</t>
        </is>
      </c>
      <c r="C26" s="16" t="inlineStr">
        <is>
          <t>informes generados sin planilla / total</t>
        </is>
      </c>
      <c r="D26" s="16" t="inlineStr">
        <is>
          <t>100%</t>
        </is>
      </c>
      <c r="E26" s="16" t="inlineStr">
        <is>
          <t>mensual</t>
        </is>
      </c>
    </row>
    <row r="27">
      <c r="A27" s="16" t="inlineStr">
        <is>
          <t>Impacto (para el gobierno)</t>
        </is>
      </c>
      <c r="B27" s="16" t="inlineStr">
        <is>
          <t>Horas de papeleo ahorradas por médico</t>
        </is>
      </c>
      <c r="C27" s="16" t="inlineStr">
        <is>
          <t>antes vs. después (muestreo)</t>
        </is>
      </c>
      <c r="D27" s="16" t="inlineStr">
        <is>
          <t>≥ 1 h/día</t>
        </is>
      </c>
      <c r="E27" s="16" t="inlineStr">
        <is>
          <t>semestral</t>
        </is>
      </c>
    </row>
    <row r="28">
      <c r="A28" s="16" t="inlineStr">
        <is>
          <t>Impacto (para el gobierno)</t>
        </is>
      </c>
      <c r="B28" s="16" t="inlineStr">
        <is>
          <t>Cobertura de vacunas Penta 3</t>
        </is>
      </c>
      <c r="C28" s="16" t="inlineStr">
        <is>
          <t>dosis / población objetivo</t>
        </is>
      </c>
      <c r="D28" s="16" t="inlineStr">
        <is>
          <t>≥ 95%</t>
        </is>
      </c>
      <c r="E28" s="16" t="inlineStr">
        <is>
          <t>mensual</t>
        </is>
      </c>
    </row>
    <row r="29">
      <c r="A29" s="16" t="inlineStr">
        <is>
          <t>Impacto (para el gobierno)</t>
        </is>
      </c>
      <c r="B29" s="16" t="inlineStr">
        <is>
          <t>Control prenatal ≥ 4 / ≥ 8 contactos</t>
        </is>
      </c>
      <c r="C29" s="16" t="inlineStr">
        <is>
          <t>embarazadas con controles / embarazadas</t>
        </is>
      </c>
      <c r="D29" s="16" t="inlineStr">
        <is>
          <t>≥ 80% / ≥ 50%</t>
        </is>
      </c>
      <c r="E29" s="16" t="inlineStr">
        <is>
          <t>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52" customWidth="1" min="3" max="3"/>
    <col width="28" customWidth="1" min="4" max="4"/>
  </cols>
  <sheetData>
    <row r="1">
      <c r="A1" s="1" t="inlineStr">
        <is>
          <t>SIVEC · Qué se necesita para mantener el sistema funcionando</t>
        </is>
      </c>
    </row>
    <row r="3">
      <c r="A3" s="2" t="inlineStr">
        <is>
          <t>Componente</t>
        </is>
      </c>
      <c r="B3" s="2" t="inlineStr">
        <is>
          <t>Qué es</t>
        </is>
      </c>
      <c r="C3" s="2" t="inlineStr">
        <is>
          <t>Opción recomendada</t>
        </is>
      </c>
      <c r="D3" s="2" t="inlineStr">
        <is>
          <t>Costo aproximado</t>
        </is>
      </c>
    </row>
    <row r="4">
      <c r="A4" s="16" t="inlineStr">
        <is>
          <t>Servidores y base de datos</t>
        </is>
      </c>
      <c r="B4" s="16" t="inlineStr">
        <is>
          <t>donde viven los datos (PostgreSQL)</t>
        </is>
      </c>
      <c r="C4" s="16" t="inlineStr">
        <is>
          <t>nube con respaldo en Bolivia o servidor del Ministerio (AGETIC)</t>
        </is>
      </c>
      <c r="D4" s="16" t="inlineStr">
        <is>
          <t>ver hoja Escenarios</t>
        </is>
      </c>
    </row>
    <row r="5">
      <c r="A5" s="16" t="inlineStr">
        <is>
          <t>Copias de seguridad</t>
        </is>
      </c>
      <c r="B5" s="16" t="inlineStr">
        <is>
          <t>copia diaria cifrada fuera del servidor</t>
        </is>
      </c>
      <c r="C5" s="16" t="inlineStr">
        <is>
          <t>copia automática + restauración de prueba semanal</t>
        </is>
      </c>
      <c r="D5" s="16" t="inlineStr">
        <is>
          <t>incluido en nube</t>
        </is>
      </c>
    </row>
    <row r="6">
      <c r="A6" s="16" t="inlineStr">
        <is>
          <t>Dominio y certificados</t>
        </is>
      </c>
      <c r="B6" s="16" t="inlineStr">
        <is>
          <t>sivec.bo, conexión segura</t>
        </is>
      </c>
      <c r="C6" s="16" t="inlineStr">
        <is>
          <t>ADSIB para .bo</t>
        </is>
      </c>
      <c r="D6" s="16" t="inlineStr">
        <is>
          <t>&lt; US$ 100/año</t>
        </is>
      </c>
    </row>
    <row r="7">
      <c r="A7" s="16" t="inlineStr">
        <is>
          <t>SMS</t>
        </is>
      </c>
      <c r="B7" s="16" t="inlineStr">
        <is>
          <t>recordatorios y resultados</t>
        </is>
      </c>
      <c r="C7" s="16" t="inlineStr">
        <is>
          <t>convenio con operadora (Entel/Tigo/Viva) por volumen</t>
        </is>
      </c>
      <c r="D7" s="16" t="inlineStr">
        <is>
          <t>US$ 0,01–0,03 por SMS</t>
        </is>
      </c>
    </row>
    <row r="8">
      <c r="A8" s="16" t="inlineStr">
        <is>
          <t>Firma digital</t>
        </is>
      </c>
      <c r="B8" s="16" t="inlineStr">
        <is>
          <t>firma legal de documentos</t>
        </is>
      </c>
      <c r="C8" s="16" t="inlineStr">
        <is>
          <t>ADSIB (firma digital del Estado)</t>
        </is>
      </c>
      <c r="D8" s="16" t="inlineStr">
        <is>
          <t>según convenio</t>
        </is>
      </c>
    </row>
    <row r="9">
      <c r="A9" s="16" t="inlineStr">
        <is>
          <t>Integraciones</t>
        </is>
      </c>
      <c r="B9" s="16" t="inlineStr">
        <is>
          <t>SEGIP, SNIS, SUS, laboratorios</t>
        </is>
      </c>
      <c r="C9" s="16" t="inlineStr">
        <is>
          <t>convenios interinstitucionales</t>
        </is>
      </c>
      <c r="D9" s="16" t="inlineStr">
        <is>
          <t>sin costo de licencia</t>
        </is>
      </c>
    </row>
    <row r="10">
      <c r="A10" s="16" t="inlineStr">
        <is>
          <t>Equipo humano</t>
        </is>
      </c>
      <c r="B10" s="16" t="inlineStr">
        <is>
          <t>desarrollo, soporte, capacitación</t>
        </is>
      </c>
      <c r="C10" s="16" t="inlineStr">
        <is>
          <t>ver hoja Supuestos</t>
        </is>
      </c>
      <c r="D10" s="16" t="inlineStr">
        <is>
          <t>ver hoja Supuestos</t>
        </is>
      </c>
    </row>
    <row r="11">
      <c r="A11" s="16" t="inlineStr">
        <is>
          <t>Mesa de ayuda</t>
        </is>
      </c>
      <c r="B11" s="16" t="inlineStr">
        <is>
          <t>teléfono/WhatsApp de soporte</t>
        </is>
      </c>
      <c r="C11" s="16" t="inlineStr">
        <is>
          <t>horario extendido; guardia para incidentes críticos</t>
        </is>
      </c>
      <c r="D11" s="16" t="inlineStr">
        <is>
          <t>dentro de soporte</t>
        </is>
      </c>
    </row>
    <row r="12">
      <c r="A12" s="16" t="inlineStr">
        <is>
          <t>Seguridad</t>
        </is>
      </c>
      <c r="B12" s="16" t="inlineStr">
        <is>
          <t>usuarios, roles, auditoría, cifrado</t>
        </is>
      </c>
      <c r="C12" s="16" t="inlineStr">
        <is>
          <t>revisión de seguridad externa 1 vez al año</t>
        </is>
      </c>
      <c r="D12" s="16" t="inlineStr">
        <is>
          <t>US$ 3.000–8.000/año</t>
        </is>
      </c>
    </row>
    <row r="13">
      <c r="A13" s="16" t="inlineStr">
        <is>
          <t>Legal</t>
        </is>
      </c>
      <c r="B13" s="16" t="inlineStr">
        <is>
          <t>autorización del Ministerio/SEDES, protección de datos, registro de software</t>
        </is>
      </c>
      <c r="C13" s="16" t="inlineStr">
        <is>
          <t>SENAPI (derecho de autor), convenio con el Ministerio</t>
        </is>
      </c>
      <c r="D13" s="16" t="inlineStr">
        <is>
          <t>US$ 500–2.000</t>
        </is>
      </c>
    </row>
    <row r="14">
      <c r="A14" s="16" t="inlineStr">
        <is>
          <t>Internet en los centros</t>
        </is>
      </c>
      <c r="B14" s="16" t="inlineStr">
        <is>
          <t>conexión mínima</t>
        </is>
      </c>
      <c r="C14" s="16" t="inlineStr">
        <is>
          <t>funciona sin internet y sincroniza; 4G de respaldo</t>
        </is>
      </c>
      <c r="D14" s="16" t="inlineStr">
        <is>
          <t>lo cubre el Estado o el municipio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2026-09-25T12:17:51Z</dcterms:created>
  <dcterms:modified xsi:type="dcterms:W3CDTF">2026-09-25T12:17:51Z</dcterms:modified>
</cp:coreProperties>
</file>